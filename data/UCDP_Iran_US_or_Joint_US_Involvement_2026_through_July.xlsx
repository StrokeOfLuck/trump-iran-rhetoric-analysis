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4a1b3cd0a14b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2a2b1afff1d4789"/>
    <x:sheet xmlns:r="http://schemas.openxmlformats.org/officeDocument/2006/relationships" name="US-involved events" sheetId="2" r:id="Rba34c26b96f84e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2" borderId="0" xfId="0" applyNumberFormat="1" applyFont="1" applyFill="1" applyBorder="1" applyAlignment="1">
      <x:alignment horizontal="center" vertical="center" wrapText="0"/>
    </x:xf>
    <x:xf numFmtId="0" fontId="3" fillId="2" borderId="1" xfId="0" applyNumberFormat="1" applyFont="1" applyFill="1" applyBorder="1" applyAlignment="1">
      <x:alignment horizontal="center"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06482f59c34235" /><Relationship Type="http://schemas.openxmlformats.org/officeDocument/2006/relationships/theme" Target="/xl/theme/theme1.xml" Id="R9fe2f7575f49462d" /><Relationship Type="http://schemas.openxmlformats.org/officeDocument/2006/relationships/sharedStrings" Target="/xl/sharedStrings.xml" Id="R2a24887977984f9d" /><Relationship Type="http://schemas.openxmlformats.org/officeDocument/2006/relationships/worksheet" Target="/xl/worksheets/sheet1.xml" Id="R82a2b1afff1d4789" /><Relationship Type="http://schemas.openxmlformats.org/officeDocument/2006/relationships/worksheet" Target="/xl/worksheets/sheet2.xml" Id="Rba34c26b96f84e1d" /></Relationships>
</file>

<file path=xl/tables/table1.xml><?xml version="1.0" encoding="utf-8"?>
<x:table xmlns:x="http://schemas.openxmlformats.org/spreadsheetml/2006/main" id="1" name="USInvolvedIranEvents" displayName="USInvolvedIranEvents" ref="A1:AZ48" headerRowCount="1" totalsRowCount="0" totalsRowShown="0">
  <x:tableColumns count="52">
    <x:tableColumn id="1" name="us_involvement"/>
    <x:tableColumn id="2" name="involvement_evidence"/>
    <x:tableColumn id="3" name="id"/>
    <x:tableColumn id="4" name="relid"/>
    <x:tableColumn id="5" name="year"/>
    <x:tableColumn id="6" name="active_year"/>
    <x:tableColumn id="7" name="code_status"/>
    <x:tableColumn id="8" name="type_of_violence"/>
    <x:tableColumn id="9" name="conflict_dset_id"/>
    <x:tableColumn id="10" name="conflict_new_id"/>
    <x:tableColumn id="11" name="conflict_name"/>
    <x:tableColumn id="12" name="dyad_dset_id"/>
    <x:tableColumn id="13" name="dyad_new_id"/>
    <x:tableColumn id="14" name="dyad_name"/>
    <x:tableColumn id="15" name="side_a_dset_id"/>
    <x:tableColumn id="16" name="side_a_new_id"/>
    <x:tableColumn id="17" name="side_a"/>
    <x:tableColumn id="18" name="side_b_dset_id"/>
    <x:tableColumn id="19" name="side_b_new_id"/>
    <x:tableColumn id="20" name="side_b"/>
    <x:tableColumn id="21" name="number_of_sources"/>
    <x:tableColumn id="22" name="source_article"/>
    <x:tableColumn id="23" name="source_office"/>
    <x:tableColumn id="24" name="source_date"/>
    <x:tableColumn id="25" name="source_headline"/>
    <x:tableColumn id="26" name="source_original"/>
    <x:tableColumn id="27" name="where_prec"/>
    <x:tableColumn id="28" name="where_coordinates"/>
    <x:tableColumn id="29" name="where_description"/>
    <x:tableColumn id="30" name="adm_1"/>
    <x:tableColumn id="31" name="adm_2"/>
    <x:tableColumn id="32" name="latitude"/>
    <x:tableColumn id="33" name="longitude"/>
    <x:tableColumn id="34" name="geom_wkt"/>
    <x:tableColumn id="35" name="priogrid_gid"/>
    <x:tableColumn id="36" name="country"/>
    <x:tableColumn id="37" name="country_id"/>
    <x:tableColumn id="38" name="region"/>
    <x:tableColumn id="39" name="event_clarity"/>
    <x:tableColumn id="40" name="date_prec"/>
    <x:tableColumn id="41" name="date_start"/>
    <x:tableColumn id="42" name="date_end"/>
    <x:tableColumn id="43" name="deaths_a"/>
    <x:tableColumn id="44" name="deaths_b"/>
    <x:tableColumn id="45" name="deaths_civilians"/>
    <x:tableColumn id="46" name="deaths_unknown"/>
    <x:tableColumn id="47" name="best"/>
    <x:tableColumn id="48" name="high"/>
    <x:tableColumn id="49" name="low"/>
    <x:tableColumn id="50" name="gwnoa"/>
    <x:tableColumn id="51" name="gwnob"/>
    <x:tableColumn id="52" name="ucdp_relea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84464529d44d0f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>
      <x:c r="A1" s="5" t="str">
        <x:v>UCDP Iran Events with Explicit U.S. Involvement — 2026</x:v>
      </x:c>
      <x:c r="B1" s="5"/>
      <x:c r="C1" s="5"/>
      <x:c r="D1" s="5"/>
    </x:row>
    <x:row r="3">
      <x:c r="A3" s="16" t="str">
        <x:v>Filter</x:v>
      </x:c>
      <x:c r="B3" s="16" t="str">
        <x:v>Value</x:v>
      </x:c>
    </x:row>
    <x:row r="4">
      <x:c r="A4" s="17" t="str">
        <x:v>Country</x:v>
      </x:c>
      <x:c r="B4" s="18" t="str">
        <x:v>Iran</x:v>
      </x:c>
    </x:row>
    <x:row r="5">
      <x:c r="A5" s="17" t="str">
        <x:v>Conflict</x:v>
      </x:c>
      <x:c r="B5" s="18" t="str">
        <x:v>Iran - Israel, United States of America</x:v>
      </x:c>
    </x:row>
    <x:row r="6">
      <x:c r="A6" s="17" t="str">
        <x:v>Inclusion rule</x:v>
      </x:c>
      <x:c r="B6" s="18" t="str">
        <x:v>UCDP source headline explicitly attributes the lethal event to the U.S. alone or to a joint U.S.-Israel action.</x:v>
      </x:c>
    </x:row>
    <x:row r="7">
      <x:c r="A7" s="17" t="str">
        <x:v>Total included records</x:v>
      </x:c>
      <x:c r="B7" s="18" t="n">
        <x:f>COUNTA('US-involved events'!C2:C48)</x:f>
        <x:v>47</x:v>
      </x:c>
    </x:row>
    <x:row r="8">
      <x:c r="A8" s="17" t="str">
        <x:v>U.S.-only records</x:v>
      </x:c>
      <x:c r="B8" s="18" t="n">
        <x:f>COUNTIF('US-involved events'!A2:A48,"US")</x:f>
        <x:v>21</x:v>
      </x:c>
    </x:row>
    <x:row r="9">
      <x:c r="A9" s="17" t="str">
        <x:v>Joint U.S.-Israel records</x:v>
      </x:c>
      <x:c r="B9" s="18" t="n">
        <x:f>COUNTIF('US-involved events'!A2:A48,"Joint US-Israel")</x:f>
        <x:v>26</x:v>
      </x:c>
    </x:row>
    <x:row r="10">
      <x:c r="A10" s="17" t="str">
        <x:v>Date range</x:v>
      </x:c>
      <x:c r="B10" s="18" t="str">
        <x:f>TEXT(MIN('US-involved events'!AO2:AO48),"yyyy-mm-dd")&amp;" through "&amp;TEXT(MAX('US-involved events'!AO2:AO48),"yyyy-mm-dd")</x:f>
        <x:v>2026-02-28 through 2026-07-30</x:v>
      </x:c>
    </x:row>
    <x:row r="12">
      <x:c r="A12" s="16" t="str">
        <x:v>Method note</x:v>
      </x:c>
      <x:c r="B12" s="16" t="str">
        <x:v>Why it matters</x:v>
      </x:c>
    </x:row>
    <x:row r="13">
      <x:c r="A13" s="17" t="str">
        <x:v>UCDP actor coding</x:v>
      </x:c>
      <x:c r="B13" s="18" t="str">
        <x:v>UCDP combines Israel and the United States on side_b for this conflict, so side_b alone cannot tell which country carried out a specific event.</x:v>
      </x:c>
    </x:row>
    <x:row r="14">
      <x:c r="A14" s="17" t="str">
        <x:v>How this file separates them</x:v>
      </x:c>
      <x:c r="B14" s="18" t="str">
        <x:v>The new us_involvement field is based on explicit wording in UCDP's source_headline field.</x:v>
      </x:c>
    </x:row>
    <x:row r="15">
      <x:c r="A15" s="17" t="str">
        <x:v>Excluded records</x:v>
      </x:c>
      <x:c r="B15" s="18" t="str">
        <x:v>Israel-only records and ambiguous records were excluded when the headline did not explicitly connect the event to U.S. action.</x:v>
      </x:c>
    </x:row>
    <x:row r="16">
      <x:c r="A16" s="17" t="str">
        <x:v>Use for Truth Social analysis</x:v>
      </x:c>
      <x:c r="B16" s="18" t="str">
        <x:v>These are event records with explicit U.S. involvement that can be used as dated anchors around which to examine Trump's Iran-related Truth Social posts.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8" hidden="0" customWidth="1"/>
    <x:col min="25" max="25" width="58" hidden="0" customWidth="1"/>
    <x:col min="22" max="22" width="42" hidden="0" customWidth="1"/>
    <x:col min="26" max="26" width="30" hidden="0" customWidth="1"/>
    <x:col min="27" max="27" width="24" hidden="0" customWidth="1"/>
    <x:col min="28" max="28" width="26" hidden="0" customWidth="1"/>
    <x:col min="29" max="29" width="26" hidden="0" customWidth="1"/>
    <x:col min="30" max="30" width="26" hidden="0" customWidth="1"/>
  </x:cols>
  <x:sheetData>
    <x:row r="1">
      <x:c r="A1" s="25" t="str">
        <x:v>us_involvement</x:v>
      </x:c>
      <x:c r="B1" s="25" t="str">
        <x:v>involvement_evidence</x:v>
      </x:c>
      <x:c r="C1" s="32" t="str">
        <x:v>id</x:v>
      </x:c>
      <x:c r="D1" s="32" t="str">
        <x:v>relid</x:v>
      </x:c>
      <x:c r="E1" s="32" t="str">
        <x:v>year</x:v>
      </x:c>
      <x:c r="F1" s="32" t="str">
        <x:v>active_year</x:v>
      </x:c>
      <x:c r="G1" s="32" t="str">
        <x:v>code_status</x:v>
      </x:c>
      <x:c r="H1" s="32" t="str">
        <x:v>type_of_violence</x:v>
      </x:c>
      <x:c r="I1" s="32" t="str">
        <x:v>conflict_dset_id</x:v>
      </x:c>
      <x:c r="J1" s="32" t="str">
        <x:v>conflict_new_id</x:v>
      </x:c>
      <x:c r="K1" s="32" t="str">
        <x:v>conflict_name</x:v>
      </x:c>
      <x:c r="L1" s="32" t="str">
        <x:v>dyad_dset_id</x:v>
      </x:c>
      <x:c r="M1" s="32" t="str">
        <x:v>dyad_new_id</x:v>
      </x:c>
      <x:c r="N1" s="32" t="str">
        <x:v>dyad_name</x:v>
      </x:c>
      <x:c r="O1" s="32" t="str">
        <x:v>side_a_dset_id</x:v>
      </x:c>
      <x:c r="P1" s="32" t="str">
        <x:v>side_a_new_id</x:v>
      </x:c>
      <x:c r="Q1" s="32" t="str">
        <x:v>side_a</x:v>
      </x:c>
      <x:c r="R1" s="32" t="str">
        <x:v>side_b_dset_id</x:v>
      </x:c>
      <x:c r="S1" s="32" t="str">
        <x:v>side_b_new_id</x:v>
      </x:c>
      <x:c r="T1" s="32" t="str">
        <x:v>side_b</x:v>
      </x:c>
      <x:c r="U1" s="32" t="str">
        <x:v>number_of_sources</x:v>
      </x:c>
      <x:c r="V1" s="32" t="str">
        <x:v>source_article</x:v>
      </x:c>
      <x:c r="W1" s="32" t="str">
        <x:v>source_office</x:v>
      </x:c>
      <x:c r="X1" s="32" t="str">
        <x:v>source_date</x:v>
      </x:c>
      <x:c r="Y1" s="32" t="str">
        <x:v>source_headline</x:v>
      </x:c>
      <x:c r="Z1" s="32" t="str">
        <x:v>source_original</x:v>
      </x:c>
      <x:c r="AA1" s="32" t="str">
        <x:v>where_prec</x:v>
      </x:c>
      <x:c r="AB1" s="32" t="str">
        <x:v>where_coordinates</x:v>
      </x:c>
      <x:c r="AC1" s="32" t="str">
        <x:v>where_description</x:v>
      </x:c>
      <x:c r="AD1" s="32" t="str">
        <x:v>adm_1</x:v>
      </x:c>
      <x:c r="AE1" s="32" t="str">
        <x:v>adm_2</x:v>
      </x:c>
      <x:c r="AF1" s="32" t="str">
        <x:v>latitude</x:v>
      </x:c>
      <x:c r="AG1" s="32" t="str">
        <x:v>longitude</x:v>
      </x:c>
      <x:c r="AH1" s="32" t="str">
        <x:v>geom_wkt</x:v>
      </x:c>
      <x:c r="AI1" s="32" t="str">
        <x:v>priogrid_gid</x:v>
      </x:c>
      <x:c r="AJ1" s="32" t="str">
        <x:v>country</x:v>
      </x:c>
      <x:c r="AK1" s="32" t="str">
        <x:v>country_id</x:v>
      </x:c>
      <x:c r="AL1" s="32" t="str">
        <x:v>region</x:v>
      </x:c>
      <x:c r="AM1" s="32" t="str">
        <x:v>event_clarity</x:v>
      </x:c>
      <x:c r="AN1" s="32" t="str">
        <x:v>date_prec</x:v>
      </x:c>
      <x:c r="AO1" s="32" t="str">
        <x:v>date_start</x:v>
      </x:c>
      <x:c r="AP1" s="32" t="str">
        <x:v>date_end</x:v>
      </x:c>
      <x:c r="AQ1" s="32" t="str">
        <x:v>deaths_a</x:v>
      </x:c>
      <x:c r="AR1" s="32" t="str">
        <x:v>deaths_b</x:v>
      </x:c>
      <x:c r="AS1" s="32" t="str">
        <x:v>deaths_civilians</x:v>
      </x:c>
      <x:c r="AT1" s="32" t="str">
        <x:v>deaths_unknown</x:v>
      </x:c>
      <x:c r="AU1" s="32" t="str">
        <x:v>best</x:v>
      </x:c>
      <x:c r="AV1" s="32" t="str">
        <x:v>high</x:v>
      </x:c>
      <x:c r="AW1" s="32" t="str">
        <x:v>low</x:v>
      </x:c>
      <x:c r="AX1" s="32" t="str">
        <x:v>gwnoa</x:v>
      </x:c>
      <x:c r="AY1" s="32" t="str">
        <x:v>gwnob</x:v>
      </x:c>
      <x:c r="AZ1" s="32" t="str">
        <x:v>ucdp_release</x:v>
      </x:c>
    </x:row>
    <x:row r="2">
      <x:c r="A2" s="18" t="str">
        <x:v>Joint US-Israel</x:v>
      </x:c>
      <x:c r="B2" s="18" t="str">
        <x:v>1st LD Writethru: Death toll rises to 148 in U.S.-Israeli attack on Iranian school</x:v>
      </x:c>
      <x:c r="C2" t="n">
        <x:v>620876</x:v>
      </x:c>
      <x:c r="D2" t="str">
        <x:v>IRN-2026-1-18868-4</x:v>
      </x:c>
      <x:c r="E2" t="n">
        <x:v>2026</x:v>
      </x:c>
      <x:c r="F2" t="str">
        <x:v>true</x:v>
      </x:c>
      <x:c r="G2" t="str">
        <x:v>Check deaths</x:v>
      </x:c>
      <x:c r="H2" t="n">
        <x:v>1</x:v>
      </x:c>
      <x:c r="I2"/>
      <x:c r="J2" t="n">
        <x:v>16905</x:v>
      </x:c>
      <x:c r="K2" t="str">
        <x:v>Iran - Israel, United States of America</x:v>
      </x:c>
      <x:c r="L2" t="n">
        <x:v>18868</x:v>
      </x:c>
      <x:c r="M2" t="n">
        <x:v>18868</x:v>
      </x:c>
      <x:c r="N2" t="str">
        <x:v>Government of Iran - Government of Israel, Government of United States of America</x:v>
      </x:c>
      <x:c r="O2" t="n">
        <x:v>114</x:v>
      </x:c>
      <x:c r="P2" t="n">
        <x:v>114</x:v>
      </x:c>
      <x:c r="Q2" t="str">
        <x:v>Government of Iran</x:v>
      </x:c>
      <x:c r="R2" t="n">
        <x:v>9865</x:v>
      </x:c>
      <x:c r="S2" t="n">
        <x:v>9865</x:v>
      </x:c>
      <x:c r="T2" t="str">
        <x:v>Government of Israel, Government of United States of America</x:v>
      </x:c>
      <x:c r="U2" t="n">
        <x:v>7</x:v>
      </x:c>
      <x:c r="V2" t="str">
        <x:v>"Agence France Presse,2026-03-04,Children must not be 'collateral damage' in Mideast war: UN experts";"Agence France Presse,2026-04-28,Iran says Minab school strike death toll 155: state TV";"Agence France Presse,2026-02-28,Death toll in strike on southern Iran school reaches 40: state media";"Agence France Presse,2026-02-28,Death toll from attack on school in Iran's south rises to 85: judiciary";"Agence France Presse,2026-03-01,Iran Red Crescent says death toll from strike that hit school in south now 108";"Xinhua News Agency,2026-03-01,1st LD Writethru: Death toll rises to 148 in U.S.-Israeli attack on Iranian school";"Amnesty International,2026-03-16,USA/Iran: Those responsible for deadly and unlawful US strike on school that killed over 100 children must be held accountable"</x:v>
      </x:c>
      <x:c r="W2" t="str">
        <x:v>Agence France Presse;Agence France Presse;Agence France Presse;Agence France Presse;Agence France Presse;Xinhua News Agency;Amnesty International</x:v>
      </x:c>
      <x:c r="X2" t="str">
        <x:v>2026-03-04;2026-04-28;2026-02-28;2026-02-28;2026-03-01;2026-03-01;2026-03-16</x:v>
      </x:c>
      <x:c r="Y2" t="str">
        <x:v>Children must not be 'collateral damage' in Mideast war: UN experts;Iran says Minab school strike death toll 155: state TV;Death toll in strike on southern Iran school reaches 40: state media;Death toll from attack on school in Iran's south rises to 85: judiciary;Iran Red Crescent says death toll from strike that hit school in south now 108;1st LD Writethru: Death toll rises to 148 in U.S.-Israeli attack on Iranian school;USA/Iran: Those responsible for deadly and unlawful US strike on school that killed over 100 children must be held accountable</x:v>
      </x:c>
      <x:c r="Z2" t="str">
        <x:v>Iranian television, Tasnim news agency, Amnesty</x:v>
      </x:c>
      <x:c r="AA2" t="n">
        <x:v>1</x:v>
      </x:c>
      <x:c r="AB2" t="str">
        <x:v>Minab town</x:v>
      </x:c>
      <x:c r="AC2" t="str">
        <x:v>Minab , Hormozgan province</x:v>
      </x:c>
      <x:c r="AD2" t="str">
        <x:v>Hormozgan province</x:v>
      </x:c>
      <x:c r="AE2" t="str">
        <x:v>Minab county</x:v>
      </x:c>
      <x:c r="AF2" t="n">
        <x:v>27.149158</x:v>
      </x:c>
      <x:c r="AG2" t="n">
        <x:v>57.074776</x:v>
      </x:c>
      <x:c r="AH2" t="str">
        <x:v>POINT (57.074776 27.149158)</x:v>
      </x:c>
      <x:c r="AI2" t="n">
        <x:v>168955</x:v>
      </x:c>
      <x:c r="AJ2" t="str">
        <x:v>Iran</x:v>
      </x:c>
      <x:c r="AK2" t="n">
        <x:v>630</x:v>
      </x:c>
      <x:c r="AL2" t="str">
        <x:v>Middle East</x:v>
      </x:c>
      <x:c r="AM2" t="n">
        <x:v>1</x:v>
      </x:c>
      <x:c r="AN2" t="n">
        <x:v>1</x:v>
      </x:c>
      <x:c r="AO2" s="30" t="n">
        <x:v>46081</x:v>
      </x:c>
      <x:c r="AP2" s="30" t="n">
        <x:v>46081</x:v>
      </x:c>
      <x:c r="AQ2" t="n">
        <x:v>0</x:v>
      </x:c>
      <x:c r="AR2" t="n">
        <x:v>0</x:v>
      </x:c>
      <x:c r="AS2" t="n">
        <x:v>155</x:v>
      </x:c>
      <x:c r="AT2" t="n">
        <x:v>0</x:v>
      </x:c>
      <x:c r="AU2" t="n">
        <x:v>155</x:v>
      </x:c>
      <x:c r="AV2" t="n">
        <x:v>168</x:v>
      </x:c>
      <x:c r="AW2" t="n">
        <x:v>155</x:v>
      </x:c>
      <x:c r="AX2" t="n">
        <x:v>630</x:v>
      </x:c>
      <x:c r="AY2"/>
      <x:c r="AZ2" t="str">
        <x:v>Jan-Jun 2026 v26.01.26.06</x:v>
      </x:c>
    </x:row>
    <x:row r="3">
      <x:c r="A3" s="18" t="str">
        <x:v>Joint US-Israel</x:v>
      </x:c>
      <x:c r="B3" s="18" t="str">
        <x:v>Iran leader Khamenei killed in massive US and Israeli attack</x:v>
      </x:c>
      <x:c r="C3" t="n">
        <x:v>620877</x:v>
      </x:c>
      <x:c r="D3" t="str">
        <x:v>IRN-2026-1-18868-3</x:v>
      </x:c>
      <x:c r="E3" t="n">
        <x:v>2026</x:v>
      </x:c>
      <x:c r="F3" t="str">
        <x:v>true</x:v>
      </x:c>
      <x:c r="G3" t="str">
        <x:v>Clear</x:v>
      </x:c>
      <x:c r="H3" t="n">
        <x:v>1</x:v>
      </x:c>
      <x:c r="I3"/>
      <x:c r="J3" t="n">
        <x:v>16905</x:v>
      </x:c>
      <x:c r="K3" t="str">
        <x:v>Iran - Israel, United States of America</x:v>
      </x:c>
      <x:c r="L3" t="n">
        <x:v>18868</x:v>
      </x:c>
      <x:c r="M3" t="n">
        <x:v>18868</x:v>
      </x:c>
      <x:c r="N3" t="str">
        <x:v>Government of Iran - Government of Israel, Government of United States of America</x:v>
      </x:c>
      <x:c r="O3" t="n">
        <x:v>114</x:v>
      </x:c>
      <x:c r="P3" t="n">
        <x:v>114</x:v>
      </x:c>
      <x:c r="Q3" t="str">
        <x:v>Government of Iran</x:v>
      </x:c>
      <x:c r="R3" t="n">
        <x:v>9865</x:v>
      </x:c>
      <x:c r="S3" t="n">
        <x:v>9865</x:v>
      </x:c>
      <x:c r="T3" t="str">
        <x:v>Government of Israel, Government of United States of America</x:v>
      </x:c>
      <x:c r="U3" t="n">
        <x:v>3</x:v>
      </x:c>
      <x:c r="V3" t="str">
        <x:v>"Agence France Presse,2026-03-01,Iran leader Khamenei killed in massive US and Israeli attack";"Agence France Presse,2026-02-28,Israel army says Iran Guards chief Mohammad Pakpour killed in strikes";"BBC Monitoring News Alert,2026-03-01,Khamenei killed in US-Israeli strike, Iran confirms
CR 
Source: Islamic Republic of Iran News Network (IRINN), Tehran, in Persian 0128 GMT 1 Mar 26"</x:v>
      </x:c>
      <x:c r="W3" t="str">
        <x:v>Agence France Presse;Agence France Presse;BBC Monitoring News Alert</x:v>
      </x:c>
      <x:c r="X3" t="str">
        <x:v>2026-03-01;2026-02-28;2026-03-01</x:v>
      </x:c>
      <x:c r="Y3" t="str">
        <x:v>Iran leader Khamenei killed in massive US and Israeli attack;Israel army says Iran Guards chief Mohammad Pakpour killed in strikes;Khamenei killed in US-Israeli strike, Iran confirms
CR 
Source: Islamic Republic of Iran News Network (IRINN), Tehran, in Persian 0128 GMT 1 Mar 26</x:v>
      </x:c>
      <x:c r="Z3" t="str">
        <x:v>Israeli military, President Donald Trump, Iranian state media</x:v>
      </x:c>
      <x:c r="AA3" t="n">
        <x:v>1</x:v>
      </x:c>
      <x:c r="AB3" t="str">
        <x:v>Tehran city</x:v>
      </x:c>
      <x:c r="AC3" t="str">
        <x:v>Tehran</x:v>
      </x:c>
      <x:c r="AD3" t="str">
        <x:v>Tehran province</x:v>
      </x:c>
      <x:c r="AE3" t="str">
        <x:v>Tehran county</x:v>
      </x:c>
      <x:c r="AF3" t="n">
        <x:v>35.696111</x:v>
      </x:c>
      <x:c r="AG3" t="n">
        <x:v>51.423056</x:v>
      </x:c>
      <x:c r="AH3" t="str">
        <x:v>POINT (51.423056 35.696111)</x:v>
      </x:c>
      <x:c r="AI3" t="n">
        <x:v>181183</x:v>
      </x:c>
      <x:c r="AJ3" t="str">
        <x:v>Iran</x:v>
      </x:c>
      <x:c r="AK3" t="n">
        <x:v>630</x:v>
      </x:c>
      <x:c r="AL3" t="str">
        <x:v>Middle East</x:v>
      </x:c>
      <x:c r="AM3" t="n">
        <x:v>1</x:v>
      </x:c>
      <x:c r="AN3" t="n">
        <x:v>1</x:v>
      </x:c>
      <x:c r="AO3" s="30" t="n">
        <x:v>46081</x:v>
      </x:c>
      <x:c r="AP3" s="30" t="n">
        <x:v>46081</x:v>
      </x:c>
      <x:c r="AQ3" t="n">
        <x:v>7</x:v>
      </x:c>
      <x:c r="AR3" t="n">
        <x:v>0</x:v>
      </x:c>
      <x:c r="AS3" t="n">
        <x:v>0</x:v>
      </x:c>
      <x:c r="AT3" t="n">
        <x:v>0</x:v>
      </x:c>
      <x:c r="AU3" t="n">
        <x:v>7</x:v>
      </x:c>
      <x:c r="AV3" t="n">
        <x:v>7</x:v>
      </x:c>
      <x:c r="AW3" t="n">
        <x:v>7</x:v>
      </x:c>
      <x:c r="AX3" t="n">
        <x:v>630</x:v>
      </x:c>
      <x:c r="AY3"/>
      <x:c r="AZ3" t="str">
        <x:v>Jan-Jun 2026 v26.01.26.06</x:v>
      </x:c>
    </x:row>
    <x:row r="4">
      <x:c r="A4" s="18" t="str">
        <x:v>Joint US-Israel</x:v>
      </x:c>
      <x:c r="B4" s="18" t="str">
        <x:v>US-Israel attacks on Iran: Death toll and injuries live tracker</x:v>
      </x:c>
      <x:c r="C4" t="n">
        <x:v>621091</x:v>
      </x:c>
      <x:c r="D4" t="str">
        <x:v>IRN-2026-1-18868-1</x:v>
      </x:c>
      <x:c r="E4" t="n">
        <x:v>2026</x:v>
      </x:c>
      <x:c r="F4" t="str">
        <x:v>true</x:v>
      </x:c>
      <x:c r="G4" t="str">
        <x:v>Check deaths</x:v>
      </x:c>
      <x:c r="H4" t="n">
        <x:v>1</x:v>
      </x:c>
      <x:c r="I4"/>
      <x:c r="J4" t="n">
        <x:v>16905</x:v>
      </x:c>
      <x:c r="K4" t="str">
        <x:v>Iran - Israel, United States of America</x:v>
      </x:c>
      <x:c r="L4" t="n">
        <x:v>18868</x:v>
      </x:c>
      <x:c r="M4" t="n">
        <x:v>18868</x:v>
      </x:c>
      <x:c r="N4" t="str">
        <x:v>Government of Iran - Government of Israel, Government of United States of America</x:v>
      </x:c>
      <x:c r="O4" t="n">
        <x:v>114</x:v>
      </x:c>
      <x:c r="P4" t="n">
        <x:v>114</x:v>
      </x:c>
      <x:c r="Q4" t="str">
        <x:v>Government of Iran</x:v>
      </x:c>
      <x:c r="R4" t="n">
        <x:v>9865</x:v>
      </x:c>
      <x:c r="S4" t="n">
        <x:v>9865</x:v>
      </x:c>
      <x:c r="T4" t="str">
        <x:v>Government of Israel, Government of United States of America</x:v>
      </x:c>
      <x:c r="U4" t="n">
        <x:v>3</x:v>
      </x:c>
      <x:c r="V4" t="str">
        <x:v>"Agence France Presse,2026-03-02,Iran Red Crescent says 555 people killed in Iran since start of war";"Agence France Presse,2026-03-03,Iran Red Crescent says 787 killed so far since war began";"Al Jazeera English,2026-03-01,US-Israel attacks on Iran: Death toll and injuries live tracker"</x:v>
      </x:c>
      <x:c r="W4" t="str">
        <x:v>Agence France Presse;Agence France Presse;Al Jazeera English</x:v>
      </x:c>
      <x:c r="X4" t="str">
        <x:v>2026-03-02;2026-03-03;2026-03-01</x:v>
      </x:c>
      <x:c r="Y4" t="str">
        <x:v>Iran Red Crescent says 555 people killed in Iran since start of war;Iran Red Crescent says 787 killed so far since war began;US-Israel attacks on Iran: Death toll and injuries live tracker</x:v>
      </x:c>
      <x:c r="Z4" t="str">
        <x:v>Iranian Red Crescent Society, official state-linked media</x:v>
      </x:c>
      <x:c r="AA4" t="n">
        <x:v>6</x:v>
      </x:c>
      <x:c r="AB4" t="str">
        <x:v>Iran</x:v>
      </x:c>
      <x:c r="AC4" t="str">
        <x:v>Iran</x:v>
      </x:c>
      <x:c r="AD4"/>
      <x:c r="AE4"/>
      <x:c r="AF4" t="n">
        <x:v>32</x:v>
      </x:c>
      <x:c r="AG4" t="n">
        <x:v>53</x:v>
      </x:c>
      <x:c r="AH4" t="str">
        <x:v>POINT (53 32)</x:v>
      </x:c>
      <x:c r="AI4" t="n">
        <x:v>176147</x:v>
      </x:c>
      <x:c r="AJ4" t="str">
        <x:v>Iran</x:v>
      </x:c>
      <x:c r="AK4" t="n">
        <x:v>630</x:v>
      </x:c>
      <x:c r="AL4" t="str">
        <x:v>Middle East</x:v>
      </x:c>
      <x:c r="AM4" t="n">
        <x:v>2</x:v>
      </x:c>
      <x:c r="AN4" t="n">
        <x:v>2</x:v>
      </x:c>
      <x:c r="AO4" s="30" t="n">
        <x:v>46081</x:v>
      </x:c>
      <x:c r="AP4" s="30" t="n">
        <x:v>46082</x:v>
      </x:c>
      <x:c r="AQ4" t="n">
        <x:v>0</x:v>
      </x:c>
      <x:c r="AR4" t="n">
        <x:v>0</x:v>
      </x:c>
      <x:c r="AS4" t="n">
        <x:v>0</x:v>
      </x:c>
      <x:c r="AT4" t="n">
        <x:v>552</x:v>
      </x:c>
      <x:c r="AU4" t="n">
        <x:v>552</x:v>
      </x:c>
      <x:c r="AV4" t="n">
        <x:v>552</x:v>
      </x:c>
      <x:c r="AW4" t="n">
        <x:v>552</x:v>
      </x:c>
      <x:c r="AX4" t="n">
        <x:v>630</x:v>
      </x:c>
      <x:c r="AY4"/>
      <x:c r="AZ4" t="str">
        <x:v>Jan-Jun 2026 v26.01.26.06</x:v>
      </x:c>
    </x:row>
    <x:row r="5">
      <x:c r="A5" s="18" t="str">
        <x:v>Joint US-Israel</x:v>
      </x:c>
      <x:c r="B5" s="18" t="str">
        <x:v>Iran reports 3,468 dead in war with US, Israel: official</x:v>
      </x:c>
      <x:c r="C5" t="n">
        <x:v>625182</x:v>
      </x:c>
      <x:c r="D5" t="str">
        <x:v>IRN-2026-1-18868-31</x:v>
      </x:c>
      <x:c r="E5" t="n">
        <x:v>2026</x:v>
      </x:c>
      <x:c r="F5" t="str">
        <x:v>true</x:v>
      </x:c>
      <x:c r="G5" t="str">
        <x:v>Check deaths</x:v>
      </x:c>
      <x:c r="H5" t="n">
        <x:v>1</x:v>
      </x:c>
      <x:c r="I5"/>
      <x:c r="J5" t="n">
        <x:v>16905</x:v>
      </x:c>
      <x:c r="K5" t="str">
        <x:v>Iran - Israel, United States of America</x:v>
      </x:c>
      <x:c r="L5" t="n">
        <x:v>18868</x:v>
      </x:c>
      <x:c r="M5" t="n">
        <x:v>18868</x:v>
      </x:c>
      <x:c r="N5" t="str">
        <x:v>Government of Iran - Government of Israel, Government of United States of America</x:v>
      </x:c>
      <x:c r="O5" t="n">
        <x:v>114</x:v>
      </x:c>
      <x:c r="P5" t="n">
        <x:v>114</x:v>
      </x:c>
      <x:c r="Q5" t="str">
        <x:v>Government of Iran</x:v>
      </x:c>
      <x:c r="R5" t="n">
        <x:v>9865</x:v>
      </x:c>
      <x:c r="S5" t="n">
        <x:v>9865</x:v>
      </x:c>
      <x:c r="T5" t="str">
        <x:v>Government of Israel, Government of United States of America</x:v>
      </x:c>
      <x:c r="U5" t="n">
        <x:v>15</x:v>
      </x:c>
      <x:c r="V5" t="str">
        <x:v>"Agence France Presse,2026-04-18,Iran reports 3,468 dead in war with US, Israel: official";"Agence France Presse,2026-03-04,Iran state media says more than 1,000 killed in strikes";"Agence France Presse,2026-03-05,Iranian state-run foundation says 1,230 killed in strikes";"Associated Press Newswires,2026-03-04,Iranian government agency says at least 1,045 people have been killed in the war so far";"Xinhua News Agency,2026-03-07,1st LD Writethru: At least 1,332 Iranian civilians killed in U.S.-Israeli airstrikes: Iran's UN envoy";"Xinhua News Agency,2026-03-09,1st LD Writethru: Israeli military says about 1,900 Iranian soldiers, commanders killed in strikes";"Xinhua News Agency,2026-03-16,1st LD Writethru: U.S.-Israeli strikes kill 226 women, 204 children in Iran -- media";"Al Jazeera English,2026-03-27,Iran emergency workers search for survivors after deadly US-Israel attacks";"Al Jazeera English,2026-03-09,Iran says 1,255 people killed in US-Israeli attacks, mostly civilians";"Al Jazeera English,2026-03-11,Iran war live: Israel hits Lebanon, Hormuz fears rise, Gulf states attacked
AU 
Mariamne Everett, Elis Gjevori, Tim Hume";"Al Jazeera English,2026-03-13,Explosions near Tehran al-Quds Day march in solidarity with Palestinians";"Hengaw,2026-04-08,At least 7,650 killed in 40 days of war, including 1,030 civilians — Hengaw’s tenth report";"BBC Monitoring News Alert,2026-04-26,Iran puts war death toll at 3,468, says 45% were civilians
CR 
Source: Tasnim news agency, Tehran, in Persian 0913 GMT 26 Apr 26";"BBC Monitoring News Alert,2026-04-12,Iran says identities of 3,375 killed in 40‑day war confirmed
CR 
Source: Islamic Republic News Agency (IRNA) website, Tehran, in Persian 1207 GMT 12 Apr 26";"Human Rights Activists News Agency,2026-03-31,Day 32 of U.S. and Israeli Attacks on Iran: Strikes Focused on Central Regions of the Country"</x:v>
      </x:c>
      <x:c r="W5" t="str">
        <x:v>Agence France Presse;Agence France Presse;Agence France Presse;Associated Press Newswires;Xinhua News Agency;Xinhua News Agency;Xinhua News Agency;Al Jazeera English;Al Jazeera English;Al Jazeera English;Al Jazeera English;Hengaw;BBC Monitoring News Alert;BBC Monitoring News Alert;Human Rights Activists News Agency</x:v>
      </x:c>
      <x:c r="X5" t="str">
        <x:v>2026-04-18;2026-03-04;2026-03-05;2026-03-04;2026-03-07;2026-03-09;2026-03-16;2026-03-27;2026-03-09;2026-03-11;2026-03-13;2026-04-08;2026-04-26;2026-04-12;2026-03-31</x:v>
      </x:c>
      <x:c r="Y5" t="str">
        <x:v>Iran reports 3,468 dead in war with US, Israel: official;Iran state media says more than 1,000 killed in strikes;Iranian state-run foundation says 1,230 killed in strikes;Iranian government agency says at least 1,045 people have been killed in the war so far;1st LD Writethru: At least 1,332 Iranian civilians killed in U.S.-Israeli airstrikes: Iran's UN envoy;1st LD Writethru: Israeli military says about 1,900 Iranian soldiers, commanders killed in strikes;1st LD Writethru: U.S.-Israeli strikes kill 226 women, 204 children in Iran -- media;Iran emergency workers search for survivors after deadly US-Israel attacks;Iran says 1,255 people killed in US-Israeli attacks, mostly civilians;Iran war live: Israel hits Lebanon, Hormuz fears rise, Gulf states attacked
AU 
Mariamne Everett, Elis Gjevori, Tim Hume;Explosions near Tehran al-Quds Day march in solidarity with Palestinians;At least 7,650 killed in 40 days of war, including 1,030 civilians — Hengaw’s tenth report;Iran puts war death toll at 3,468, says 45% were civilians
CR 
Source: Tasnim news agency, Tehran, in Persian 0913 GMT 26 Apr 26;Iran says identities of 3,375 killed in 40‑day war confirmed
CR 
Source: Islamic Republic News Agency (IRNA) website, Tehran, in Persian 1207 GMT 12 Apr 26;Day 32 of U.S. and Israeli Attacks on Iran: Strikes Focused on Central Regions of the Country</x:v>
      </x:c>
      <x:c r="Z5" t="str">
        <x:v>Iranian government, Iran's UN ambassador, HRANA, Hengaw</x:v>
      </x:c>
      <x:c r="AA5" t="n">
        <x:v>6</x:v>
      </x:c>
      <x:c r="AB5" t="str">
        <x:v>Iran</x:v>
      </x:c>
      <x:c r="AC5"/>
      <x:c r="AD5"/>
      <x:c r="AE5"/>
      <x:c r="AF5" t="n">
        <x:v>32</x:v>
      </x:c>
      <x:c r="AG5" t="n">
        <x:v>53</x:v>
      </x:c>
      <x:c r="AH5" t="str">
        <x:v>POINT (53 32)</x:v>
      </x:c>
      <x:c r="AI5" t="n">
        <x:v>176147</x:v>
      </x:c>
      <x:c r="AJ5" t="str">
        <x:v>Iran</x:v>
      </x:c>
      <x:c r="AK5" t="n">
        <x:v>630</x:v>
      </x:c>
      <x:c r="AL5" t="str">
        <x:v>Middle East</x:v>
      </x:c>
      <x:c r="AM5" t="n">
        <x:v>2</x:v>
      </x:c>
      <x:c r="AN5" t="n">
        <x:v>5</x:v>
      </x:c>
      <x:c r="AO5" s="30" t="n">
        <x:v>46081</x:v>
      </x:c>
      <x:c r="AP5" s="30" t="n">
        <x:v>46119</x:v>
      </x:c>
      <x:c r="AQ5" t="n">
        <x:v>1006</x:v>
      </x:c>
      <x:c r="AR5" t="n">
        <x:v>0</x:v>
      </x:c>
      <x:c r="AS5" t="n">
        <x:v>1408</x:v>
      </x:c>
      <x:c r="AT5" t="n">
        <x:v>3</x:v>
      </x:c>
      <x:c r="AU5" t="n">
        <x:v>2417</x:v>
      </x:c>
      <x:c r="AV5" t="n">
        <x:v>2401</x:v>
      </x:c>
      <x:c r="AW5" t="n">
        <x:v>2417</x:v>
      </x:c>
      <x:c r="AX5" t="n">
        <x:v>630</x:v>
      </x:c>
      <x:c r="AY5"/>
      <x:c r="AZ5" t="str">
        <x:v>Jan-Jun 2026 v26.01.26.06</x:v>
      </x:c>
    </x:row>
    <x:row r="6">
      <x:c r="A6" s="18" t="str">
        <x:v>Joint US-Israel</x:v>
      </x:c>
      <x:c r="B6" s="18" t="str">
        <x:v>5 killed in U.S.-Israeli raid on port city in Iran</x:v>
      </x:c>
      <x:c r="C6" t="n">
        <x:v>625367</x:v>
      </x:c>
      <x:c r="D6" t="str">
        <x:v>IRN-2026-1-18868-57</x:v>
      </x:c>
      <x:c r="E6" t="n">
        <x:v>2026</x:v>
      </x:c>
      <x:c r="F6" t="str">
        <x:v>true</x:v>
      </x:c>
      <x:c r="G6" t="str">
        <x:v>Check deaths</x:v>
      </x:c>
      <x:c r="H6" t="n">
        <x:v>1</x:v>
      </x:c>
      <x:c r="I6"/>
      <x:c r="J6" t="n">
        <x:v>16905</x:v>
      </x:c>
      <x:c r="K6" t="str">
        <x:v>Iran - Israel, United States of America</x:v>
      </x:c>
      <x:c r="L6" t="n">
        <x:v>18868</x:v>
      </x:c>
      <x:c r="M6" t="n">
        <x:v>18868</x:v>
      </x:c>
      <x:c r="N6" t="str">
        <x:v>Government of Iran - Government of Israel, Government of United States of America</x:v>
      </x:c>
      <x:c r="O6" t="n">
        <x:v>114</x:v>
      </x:c>
      <x:c r="P6" t="n">
        <x:v>114</x:v>
      </x:c>
      <x:c r="Q6" t="str">
        <x:v>Government of Iran</x:v>
      </x:c>
      <x:c r="R6" t="n">
        <x:v>9865</x:v>
      </x:c>
      <x:c r="S6" t="n">
        <x:v>9865</x:v>
      </x:c>
      <x:c r="T6" t="str">
        <x:v>Government of Israel, Government of United States of America</x:v>
      </x:c>
      <x:c r="U6" t="n">
        <x:v>1</x:v>
      </x:c>
      <x:c r="V6" t="str">
        <x:v>"Xinhua News Agency,2026-03-29,5 killed in U.S.-Israeli raid on port city in Iran"</x:v>
      </x:c>
      <x:c r="W6" t="str">
        <x:v>Xinhua News Agency</x:v>
      </x:c>
      <x:c r="X6" t="str">
        <x:v>2026-03-29</x:v>
      </x:c>
      <x:c r="Y6" t="str">
        <x:v>5 killed in U.S.-Israeli raid on port city in Iran</x:v>
      </x:c>
      <x:c r="Z6" t="str">
        <x:v>official news agency IRNA</x:v>
      </x:c>
      <x:c r="AA6" t="n">
        <x:v>4</x:v>
      </x:c>
      <x:c r="AB6" t="str">
        <x:v>Hormozgan province</x:v>
      </x:c>
      <x:c r="AC6" t="str">
        <x:v>Hormozgan Province</x:v>
      </x:c>
      <x:c r="AD6" t="str">
        <x:v>Hormozgan province</x:v>
      </x:c>
      <x:c r="AE6"/>
      <x:c r="AF6" t="n">
        <x:v>27.1884</x:v>
      </x:c>
      <x:c r="AG6" t="n">
        <x:v>56.2768</x:v>
      </x:c>
      <x:c r="AH6" t="str">
        <x:v>POINT (56.2768 27.1884)</x:v>
      </x:c>
      <x:c r="AI6" t="n">
        <x:v>168953</x:v>
      </x:c>
      <x:c r="AJ6" t="str">
        <x:v>Iran</x:v>
      </x:c>
      <x:c r="AK6" t="n">
        <x:v>630</x:v>
      </x:c>
      <x:c r="AL6" t="str">
        <x:v>Middle East</x:v>
      </x:c>
      <x:c r="AM6" t="n">
        <x:v>2</x:v>
      </x:c>
      <x:c r="AN6" t="n">
        <x:v>4</x:v>
      </x:c>
      <x:c r="AO6" s="30" t="n">
        <x:v>46081</x:v>
      </x:c>
      <x:c r="AP6" s="30" t="n">
        <x:v>46110</x:v>
      </x:c>
      <x:c r="AQ6" t="n">
        <x:v>0</x:v>
      </x:c>
      <x:c r="AR6" t="n">
        <x:v>0</x:v>
      </x:c>
      <x:c r="AS6" t="n">
        <x:v>0</x:v>
      </x:c>
      <x:c r="AT6" t="n">
        <x:v>24</x:v>
      </x:c>
      <x:c r="AU6" t="n">
        <x:v>24</x:v>
      </x:c>
      <x:c r="AV6" t="n">
        <x:v>24</x:v>
      </x:c>
      <x:c r="AW6" t="n">
        <x:v>24</x:v>
      </x:c>
      <x:c r="AX6" t="n">
        <x:v>630</x:v>
      </x:c>
      <x:c r="AY6"/>
      <x:c r="AZ6" t="str">
        <x:v>Jan-Jun 2026 v26.01.26.06</x:v>
      </x:c>
    </x:row>
    <x:row r="7">
      <x:c r="A7" s="18" t="str">
        <x:v>Joint US-Israel</x:v>
      </x:c>
      <x:c r="B7" s="18" t="str">
        <x:v>1st LD Writethru: Death toll rises to 13 from U.S.-Israeli attacks on bridge in N. Iran</x:v>
      </x:c>
      <x:c r="C7" t="n">
        <x:v>625374</x:v>
      </x:c>
      <x:c r="D7" t="str">
        <x:v>IRN-2026-1-18868-63</x:v>
      </x:c>
      <x:c r="E7" t="n">
        <x:v>2026</x:v>
      </x:c>
      <x:c r="F7" t="str">
        <x:v>true</x:v>
      </x:c>
      <x:c r="G7" t="str">
        <x:v>Check deaths</x:v>
      </x:c>
      <x:c r="H7" t="n">
        <x:v>1</x:v>
      </x:c>
      <x:c r="I7"/>
      <x:c r="J7" t="n">
        <x:v>16905</x:v>
      </x:c>
      <x:c r="K7" t="str">
        <x:v>Iran - Israel, United States of America</x:v>
      </x:c>
      <x:c r="L7" t="n">
        <x:v>18868</x:v>
      </x:c>
      <x:c r="M7" t="n">
        <x:v>18868</x:v>
      </x:c>
      <x:c r="N7" t="str">
        <x:v>Government of Iran - Government of Israel, Government of United States of America</x:v>
      </x:c>
      <x:c r="O7" t="n">
        <x:v>114</x:v>
      </x:c>
      <x:c r="P7" t="n">
        <x:v>114</x:v>
      </x:c>
      <x:c r="Q7" t="str">
        <x:v>Government of Iran</x:v>
      </x:c>
      <x:c r="R7" t="n">
        <x:v>9865</x:v>
      </x:c>
      <x:c r="S7" t="n">
        <x:v>9865</x:v>
      </x:c>
      <x:c r="T7" t="str">
        <x:v>Government of Israel, Government of United States of America</x:v>
      </x:c>
      <x:c r="U7" t="n">
        <x:v>1</x:v>
      </x:c>
      <x:c r="V7" t="str">
        <x:v>"Xinhua News Agency,2026-04-03,1st LD Writethru: Death toll rises to 13 from U.S.-Israeli attacks on bridge in N. Iran"</x:v>
      </x:c>
      <x:c r="W7" t="str">
        <x:v>Xinhua News Agency</x:v>
      </x:c>
      <x:c r="X7" t="str">
        <x:v>2026-04-03</x:v>
      </x:c>
      <x:c r="Y7" t="str">
        <x:v>1st LD Writethru: Death toll rises to 13 from U.S.-Israeli attacks on bridge in N. Iran</x:v>
      </x:c>
      <x:c r="Z7" t="str">
        <x:v>director general of the provincial Foundation of Martyrs and Veterans Affairs</x:v>
      </x:c>
      <x:c r="AA7" t="n">
        <x:v>4</x:v>
      </x:c>
      <x:c r="AB7" t="str">
        <x:v>Alborz province</x:v>
      </x:c>
      <x:c r="AC7" t="str">
        <x:v>Alborz province</x:v>
      </x:c>
      <x:c r="AD7" t="str">
        <x:v>Alborz province</x:v>
      </x:c>
      <x:c r="AE7"/>
      <x:c r="AF7" t="n">
        <x:v>35.816667</x:v>
      </x:c>
      <x:c r="AG7" t="n">
        <x:v>50.966667</x:v>
      </x:c>
      <x:c r="AH7" t="str">
        <x:v>POINT (50.966667 35.816667)</x:v>
      </x:c>
      <x:c r="AI7" t="n">
        <x:v>181182</x:v>
      </x:c>
      <x:c r="AJ7" t="str">
        <x:v>Iran</x:v>
      </x:c>
      <x:c r="AK7" t="n">
        <x:v>630</x:v>
      </x:c>
      <x:c r="AL7" t="str">
        <x:v>Middle East</x:v>
      </x:c>
      <x:c r="AM7" t="n">
        <x:v>2</x:v>
      </x:c>
      <x:c r="AN7" t="n">
        <x:v>5</x:v>
      </x:c>
      <x:c r="AO7" s="30" t="n">
        <x:v>46081</x:v>
      </x:c>
      <x:c r="AP7" s="30" t="n">
        <x:v>46115</x:v>
      </x:c>
      <x:c r="AQ7" t="n">
        <x:v>0</x:v>
      </x:c>
      <x:c r="AR7" t="n">
        <x:v>0</x:v>
      </x:c>
      <x:c r="AS7" t="n">
        <x:v>31</x:v>
      </x:c>
      <x:c r="AT7" t="n">
        <x:v>0</x:v>
      </x:c>
      <x:c r="AU7" t="n">
        <x:v>31</x:v>
      </x:c>
      <x:c r="AV7" t="n">
        <x:v>31</x:v>
      </x:c>
      <x:c r="AW7" t="n">
        <x:v>31</x:v>
      </x:c>
      <x:c r="AX7" t="n">
        <x:v>630</x:v>
      </x:c>
      <x:c r="AY7"/>
      <x:c r="AZ7" t="str">
        <x:v>Jan-Jun 2026 v26.01.26.06</x:v>
      </x:c>
    </x:row>
    <x:row r="8">
      <x:c r="A8" s="18" t="str">
        <x:v>Joint US-Israel</x:v>
      </x:c>
      <x:c r="B8" s="18" t="str">
        <x:v>More than 40 Iranian seafarers killed during US-Israeli war: Union leader
AU 
Erin Hale</x:v>
      </x:c>
      <x:c r="C8" t="n">
        <x:v>629399</x:v>
      </x:c>
      <x:c r="D8" t="str">
        <x:v>IRN-2026-1-18868-101</x:v>
      </x:c>
      <x:c r="E8" t="n">
        <x:v>2026</x:v>
      </x:c>
      <x:c r="F8" t="str">
        <x:v>true</x:v>
      </x:c>
      <x:c r="G8" t="str">
        <x:v>Check geography</x:v>
      </x:c>
      <x:c r="H8" t="n">
        <x:v>1</x:v>
      </x:c>
      <x:c r="I8"/>
      <x:c r="J8" t="n">
        <x:v>16905</x:v>
      </x:c>
      <x:c r="K8" t="str">
        <x:v>Iran - Israel, United States of America</x:v>
      </x:c>
      <x:c r="L8" t="n">
        <x:v>18868</x:v>
      </x:c>
      <x:c r="M8" t="n">
        <x:v>18868</x:v>
      </x:c>
      <x:c r="N8" t="str">
        <x:v>Government of Iran - Government of Israel, Government of United States of America</x:v>
      </x:c>
      <x:c r="O8" t="n">
        <x:v>114</x:v>
      </x:c>
      <x:c r="P8" t="n">
        <x:v>114</x:v>
      </x:c>
      <x:c r="Q8" t="str">
        <x:v>Government of Iran</x:v>
      </x:c>
      <x:c r="R8" t="n">
        <x:v>9865</x:v>
      </x:c>
      <x:c r="S8" t="n">
        <x:v>9865</x:v>
      </x:c>
      <x:c r="T8" t="str">
        <x:v>Government of Israel, Government of United States of America</x:v>
      </x:c>
      <x:c r="U8" t="n">
        <x:v>1</x:v>
      </x:c>
      <x:c r="V8" t="str">
        <x:v>"Al Jazeera English,2026-05-01,More than 40 Iranian seafarers killed during US-Israeli war: Union leader
AU 
Erin Hale"</x:v>
      </x:c>
      <x:c r="W8" t="str">
        <x:v>Al Jazeera English</x:v>
      </x:c>
      <x:c r="X8" t="str">
        <x:v>2026-05-01</x:v>
      </x:c>
      <x:c r="Y8" t="str">
        <x:v>More than 40 Iranian seafarers killed during US-Israeli war: Union leader
AU 
Erin Hale</x:v>
      </x:c>
      <x:c r="Z8" t="str">
        <x:v>The Iranian Merchant Mariners Syndicate</x:v>
      </x:c>
      <x:c r="AA8" t="n">
        <x:v>5</x:v>
      </x:c>
      <x:c r="AB8" t="str">
        <x:v>Straight of Hormuz</x:v>
      </x:c>
      <x:c r="AC8"/>
      <x:c r="AD8"/>
      <x:c r="AE8"/>
      <x:c r="AF8" t="n">
        <x:v>26.66</x:v>
      </x:c>
      <x:c r="AG8" t="n">
        <x:v>56.52</x:v>
      </x:c>
      <x:c r="AH8" t="str">
        <x:v>POINT (56.52 26.66)</x:v>
      </x:c>
      <x:c r="AI8" t="n">
        <x:v>168234</x:v>
      </x:c>
      <x:c r="AJ8" t="str">
        <x:v>Iran</x:v>
      </x:c>
      <x:c r="AK8" t="n">
        <x:v>630</x:v>
      </x:c>
      <x:c r="AL8" t="str">
        <x:v>Middle East</x:v>
      </x:c>
      <x:c r="AM8" t="n">
        <x:v>2</x:v>
      </x:c>
      <x:c r="AN8" t="n">
        <x:v>5</x:v>
      </x:c>
      <x:c r="AO8" s="30" t="n">
        <x:v>46081</x:v>
      </x:c>
      <x:c r="AP8" s="30" t="n">
        <x:v>46113</x:v>
      </x:c>
      <x:c r="AQ8" t="n">
        <x:v>0</x:v>
      </x:c>
      <x:c r="AR8" t="n">
        <x:v>0</x:v>
      </x:c>
      <x:c r="AS8" t="n">
        <x:v>44</x:v>
      </x:c>
      <x:c r="AT8" t="n">
        <x:v>0</x:v>
      </x:c>
      <x:c r="AU8" t="n">
        <x:v>44</x:v>
      </x:c>
      <x:c r="AV8" t="n">
        <x:v>44</x:v>
      </x:c>
      <x:c r="AW8" t="n">
        <x:v>44</x:v>
      </x:c>
      <x:c r="AX8" t="n">
        <x:v>630</x:v>
      </x:c>
      <x:c r="AY8"/>
      <x:c r="AZ8" t="str">
        <x:v>Jan-Jun 2026 v26.01.26.06</x:v>
      </x:c>
    </x:row>
    <x:row r="9">
      <x:c r="A9" s="18" t="str">
        <x:v>US</x:v>
      </x:c>
      <x:c r="B9" s="18" t="str">
        <x:v>US says it killed leader of unit that tried to assassinate Trump</x:v>
      </x:c>
      <x:c r="C9" t="n">
        <x:v>625183</x:v>
      </x:c>
      <x:c r="D9" t="str">
        <x:v>IRN-2026-1-18868-32</x:v>
      </x:c>
      <x:c r="E9" t="n">
        <x:v>2026</x:v>
      </x:c>
      <x:c r="F9" t="str">
        <x:v>true</x:v>
      </x:c>
      <x:c r="G9" t="str">
        <x:v>Check vague or biased source</x:v>
      </x:c>
      <x:c r="H9" t="n">
        <x:v>1</x:v>
      </x:c>
      <x:c r="I9"/>
      <x:c r="J9" t="n">
        <x:v>16905</x:v>
      </x:c>
      <x:c r="K9" t="str">
        <x:v>Iran - Israel, United States of America</x:v>
      </x:c>
      <x:c r="L9" t="n">
        <x:v>18868</x:v>
      </x:c>
      <x:c r="M9" t="n">
        <x:v>18868</x:v>
      </x:c>
      <x:c r="N9" t="str">
        <x:v>Government of Iran - Government of Israel, Government of United States of America</x:v>
      </x:c>
      <x:c r="O9" t="n">
        <x:v>114</x:v>
      </x:c>
      <x:c r="P9" t="n">
        <x:v>114</x:v>
      </x:c>
      <x:c r="Q9" t="str">
        <x:v>Government of Iran</x:v>
      </x:c>
      <x:c r="R9" t="n">
        <x:v>9865</x:v>
      </x:c>
      <x:c r="S9" t="n">
        <x:v>9865</x:v>
      </x:c>
      <x:c r="T9" t="str">
        <x:v>Government of Israel, Government of United States of America</x:v>
      </x:c>
      <x:c r="U9" t="n">
        <x:v>1</x:v>
      </x:c>
      <x:c r="V9" t="str">
        <x:v>"Agence France Presse,2026-03-04,US says it killed leader of unit that tried to assassinate Trump"</x:v>
      </x:c>
      <x:c r="W9" t="str">
        <x:v>Agence France Presse</x:v>
      </x:c>
      <x:c r="X9" t="str">
        <x:v>2026-03-04</x:v>
      </x:c>
      <x:c r="Y9" t="str">
        <x:v>US says it killed leader of unit that tried to assassinate Trump</x:v>
      </x:c>
      <x:c r="Z9" t="str">
        <x:v>Pentagon chief Pete Hegseth</x:v>
      </x:c>
      <x:c r="AA9" t="n">
        <x:v>6</x:v>
      </x:c>
      <x:c r="AB9" t="str">
        <x:v>Iran</x:v>
      </x:c>
      <x:c r="AC9"/>
      <x:c r="AD9"/>
      <x:c r="AE9"/>
      <x:c r="AF9" t="n">
        <x:v>32</x:v>
      </x:c>
      <x:c r="AG9" t="n">
        <x:v>53</x:v>
      </x:c>
      <x:c r="AH9" t="str">
        <x:v>POINT (53 32)</x:v>
      </x:c>
      <x:c r="AI9" t="n">
        <x:v>176147</x:v>
      </x:c>
      <x:c r="AJ9" t="str">
        <x:v>Iran</x:v>
      </x:c>
      <x:c r="AK9" t="n">
        <x:v>630</x:v>
      </x:c>
      <x:c r="AL9" t="str">
        <x:v>Middle East</x:v>
      </x:c>
      <x:c r="AM9" t="n">
        <x:v>1</x:v>
      </x:c>
      <x:c r="AN9" t="n">
        <x:v>1</x:v>
      </x:c>
      <x:c r="AO9" s="30" t="n">
        <x:v>46085</x:v>
      </x:c>
      <x:c r="AP9" s="30" t="n">
        <x:v>46085</x:v>
      </x:c>
      <x:c r="AQ9" t="n">
        <x:v>1</x:v>
      </x:c>
      <x:c r="AR9" t="n">
        <x:v>0</x:v>
      </x:c>
      <x:c r="AS9" t="n">
        <x:v>0</x:v>
      </x:c>
      <x:c r="AT9" t="n">
        <x:v>0</x:v>
      </x:c>
      <x:c r="AU9" t="n">
        <x:v>1</x:v>
      </x:c>
      <x:c r="AV9" t="n">
        <x:v>1</x:v>
      </x:c>
      <x:c r="AW9" t="n">
        <x:v>1</x:v>
      </x:c>
      <x:c r="AX9" t="n">
        <x:v>630</x:v>
      </x:c>
      <x:c r="AY9"/>
      <x:c r="AZ9" t="str">
        <x:v>Jan-Jun 2026 v26.01.26.06</x:v>
      </x:c>
    </x:row>
    <x:row r="10">
      <x:c r="A10" s="18" t="str">
        <x:v>Joint US-Israel</x:v>
      </x:c>
      <x:c r="B10" s="18" t="str">
        <x:v>US, Israel hit five oil sites in and near Tehran: official</x:v>
      </x:c>
      <x:c r="C10" t="n">
        <x:v>625187</x:v>
      </x:c>
      <x:c r="D10" t="str">
        <x:v>IRN-2026-1-18868-36</x:v>
      </x:c>
      <x:c r="E10" t="n">
        <x:v>2026</x:v>
      </x:c>
      <x:c r="F10" t="str">
        <x:v>true</x:v>
      </x:c>
      <x:c r="G10" t="str">
        <x:v>Check geography</x:v>
      </x:c>
      <x:c r="H10" t="n">
        <x:v>1</x:v>
      </x:c>
      <x:c r="I10"/>
      <x:c r="J10" t="n">
        <x:v>16905</x:v>
      </x:c>
      <x:c r="K10" t="str">
        <x:v>Iran - Israel, United States of America</x:v>
      </x:c>
      <x:c r="L10" t="n">
        <x:v>18868</x:v>
      </x:c>
      <x:c r="M10" t="n">
        <x:v>18868</x:v>
      </x:c>
      <x:c r="N10" t="str">
        <x:v>Government of Iran - Government of Israel, Government of United States of America</x:v>
      </x:c>
      <x:c r="O10" t="n">
        <x:v>114</x:v>
      </x:c>
      <x:c r="P10" t="n">
        <x:v>114</x:v>
      </x:c>
      <x:c r="Q10" t="str">
        <x:v>Government of Iran</x:v>
      </x:c>
      <x:c r="R10" t="n">
        <x:v>9865</x:v>
      </x:c>
      <x:c r="S10" t="n">
        <x:v>9865</x:v>
      </x:c>
      <x:c r="T10" t="str">
        <x:v>Government of Israel, Government of United States of America</x:v>
      </x:c>
      <x:c r="U10" t="n">
        <x:v>1</x:v>
      </x:c>
      <x:c r="V10" t="str">
        <x:v>"Agence France Presse,2026-03-08,US, Israel hit five oil sites in and near Tehran: official"</x:v>
      </x:c>
      <x:c r="W10" t="str">
        <x:v>Agence France Presse</x:v>
      </x:c>
      <x:c r="X10" t="str">
        <x:v>2026-03-08</x:v>
      </x:c>
      <x:c r="Y10" t="str">
        <x:v>US, Israel hit five oil sites in and near Tehran: official</x:v>
      </x:c>
      <x:c r="Z10" t="str">
        <x:v>CEO of the National Iranian Oil Products Distribution Company</x:v>
      </x:c>
      <x:c r="AA10" t="n">
        <x:v>2</x:v>
      </x:c>
      <x:c r="AB10" t="str">
        <x:v>Tehran city</x:v>
      </x:c>
      <x:c r="AC10" t="str">
        <x:v>in and near the Iranian capital</x:v>
      </x:c>
      <x:c r="AD10" t="str">
        <x:v>Tehran province</x:v>
      </x:c>
      <x:c r="AE10" t="str">
        <x:v>Tehran county</x:v>
      </x:c>
      <x:c r="AF10" t="n">
        <x:v>35.696111</x:v>
      </x:c>
      <x:c r="AG10" t="n">
        <x:v>51.423056</x:v>
      </x:c>
      <x:c r="AH10" t="str">
        <x:v>POINT (51.423056 35.696111)</x:v>
      </x:c>
      <x:c r="AI10" t="n">
        <x:v>181183</x:v>
      </x:c>
      <x:c r="AJ10" t="str">
        <x:v>Iran</x:v>
      </x:c>
      <x:c r="AK10" t="n">
        <x:v>630</x:v>
      </x:c>
      <x:c r="AL10" t="str">
        <x:v>Middle East</x:v>
      </x:c>
      <x:c r="AM10" t="n">
        <x:v>2</x:v>
      </x:c>
      <x:c r="AN10" t="n">
        <x:v>1</x:v>
      </x:c>
      <x:c r="AO10" s="30" t="n">
        <x:v>46089</x:v>
      </x:c>
      <x:c r="AP10" s="30" t="n">
        <x:v>46089</x:v>
      </x:c>
      <x:c r="AQ10" t="n">
        <x:v>0</x:v>
      </x:c>
      <x:c r="AR10" t="n">
        <x:v>0</x:v>
      </x:c>
      <x:c r="AS10" t="n">
        <x:v>0</x:v>
      </x:c>
      <x:c r="AT10" t="n">
        <x:v>4</x:v>
      </x:c>
      <x:c r="AU10" t="n">
        <x:v>4</x:v>
      </x:c>
      <x:c r="AV10" t="n">
        <x:v>4</x:v>
      </x:c>
      <x:c r="AW10" t="n">
        <x:v>4</x:v>
      </x:c>
      <x:c r="AX10" t="n">
        <x:v>630</x:v>
      </x:c>
      <x:c r="AY10"/>
      <x:c r="AZ10" t="str">
        <x:v>Jan-Jun 2026 v26.01.26.06</x:v>
      </x:c>
    </x:row>
    <x:row r="11">
      <x:c r="A11" s="18" t="str">
        <x:v>Joint US-Israel</x:v>
      </x:c>
      <x:c r="B11" s="18" t="str">
        <x:v>Iran Revolutionary Guards say US-Israel strikes kill spokesman</x:v>
      </x:c>
      <x:c r="C11" t="n">
        <x:v>625358</x:v>
      </x:c>
      <x:c r="D11" t="str">
        <x:v>IRN-2026-1-18868-49</x:v>
      </x:c>
      <x:c r="E11" t="n">
        <x:v>2026</x:v>
      </x:c>
      <x:c r="F11" t="str">
        <x:v>true</x:v>
      </x:c>
      <x:c r="G11" t="str">
        <x:v>Check geography</x:v>
      </x:c>
      <x:c r="H11" t="n">
        <x:v>1</x:v>
      </x:c>
      <x:c r="I11"/>
      <x:c r="J11" t="n">
        <x:v>16905</x:v>
      </x:c>
      <x:c r="K11" t="str">
        <x:v>Iran - Israel, United States of America</x:v>
      </x:c>
      <x:c r="L11" t="n">
        <x:v>18868</x:v>
      </x:c>
      <x:c r="M11" t="n">
        <x:v>18868</x:v>
      </x:c>
      <x:c r="N11" t="str">
        <x:v>Government of Iran - Government of Israel, Government of United States of America</x:v>
      </x:c>
      <x:c r="O11" t="n">
        <x:v>114</x:v>
      </x:c>
      <x:c r="P11" t="n">
        <x:v>114</x:v>
      </x:c>
      <x:c r="Q11" t="str">
        <x:v>Government of Iran</x:v>
      </x:c>
      <x:c r="R11" t="n">
        <x:v>9865</x:v>
      </x:c>
      <x:c r="S11" t="n">
        <x:v>9865</x:v>
      </x:c>
      <x:c r="T11" t="str">
        <x:v>Government of Israel, Government of United States of America</x:v>
      </x:c>
      <x:c r="U11" t="n">
        <x:v>1</x:v>
      </x:c>
      <x:c r="V11" t="str">
        <x:v>"Agence France Presse,2026-03-20,Iran Revolutionary Guards say US-Israel strikes kill spokesman"</x:v>
      </x:c>
      <x:c r="W11" t="str">
        <x:v>Agence France Presse</x:v>
      </x:c>
      <x:c r="X11" t="str">
        <x:v>2026-03-20</x:v>
      </x:c>
      <x:c r="Y11" t="str">
        <x:v>Iran Revolutionary Guards say US-Israel strikes kill spokesman</x:v>
      </x:c>
      <x:c r="Z11" t="str">
        <x:v>Iran's Revolutionary Guards</x:v>
      </x:c>
      <x:c r="AA11" t="n">
        <x:v>1</x:v>
      </x:c>
      <x:c r="AB11" t="str">
        <x:v>Tehran city</x:v>
      </x:c>
      <x:c r="AC11"/>
      <x:c r="AD11" t="str">
        <x:v>Tehran province</x:v>
      </x:c>
      <x:c r="AE11" t="str">
        <x:v>Tehran county</x:v>
      </x:c>
      <x:c r="AF11" t="n">
        <x:v>35.696111</x:v>
      </x:c>
      <x:c r="AG11" t="n">
        <x:v>51.423056</x:v>
      </x:c>
      <x:c r="AH11" t="str">
        <x:v>POINT (51.423056 35.696111)</x:v>
      </x:c>
      <x:c r="AI11" t="n">
        <x:v>181183</x:v>
      </x:c>
      <x:c r="AJ11" t="str">
        <x:v>Iran</x:v>
      </x:c>
      <x:c r="AK11" t="n">
        <x:v>630</x:v>
      </x:c>
      <x:c r="AL11" t="str">
        <x:v>Middle East</x:v>
      </x:c>
      <x:c r="AM11" t="n">
        <x:v>1</x:v>
      </x:c>
      <x:c r="AN11" t="n">
        <x:v>1</x:v>
      </x:c>
      <x:c r="AO11" s="30" t="n">
        <x:v>46101</x:v>
      </x:c>
      <x:c r="AP11" s="30" t="n">
        <x:v>46101</x:v>
      </x:c>
      <x:c r="AQ11" t="n">
        <x:v>1</x:v>
      </x:c>
      <x:c r="AR11" t="n">
        <x:v>0</x:v>
      </x:c>
      <x:c r="AS11" t="n">
        <x:v>0</x:v>
      </x:c>
      <x:c r="AT11" t="n">
        <x:v>0</x:v>
      </x:c>
      <x:c r="AU11" t="n">
        <x:v>1</x:v>
      </x:c>
      <x:c r="AV11" t="n">
        <x:v>1</x:v>
      </x:c>
      <x:c r="AW11" t="n">
        <x:v>1</x:v>
      </x:c>
      <x:c r="AX11" t="n">
        <x:v>630</x:v>
      </x:c>
      <x:c r="AY11"/>
      <x:c r="AZ11" t="str">
        <x:v>Jan-Jun 2026 v26.01.26.06</x:v>
      </x:c>
    </x:row>
    <x:row r="12">
      <x:c r="A12" s="18" t="str">
        <x:v>Joint US-Israel</x:v>
      </x:c>
      <x:c r="B12" s="18" t="str">
        <x:v>Iran emergency workers search for survivors after deadly US-Israel attacks</x:v>
      </x:c>
      <x:c r="C12" t="n">
        <x:v>625363</x:v>
      </x:c>
      <x:c r="D12" t="str">
        <x:v>IRN-2026-1-18868-53</x:v>
      </x:c>
      <x:c r="E12" t="n">
        <x:v>2026</x:v>
      </x:c>
      <x:c r="F12" t="str">
        <x:v>true</x:v>
      </x:c>
      <x:c r="G12" t="str">
        <x:v>Check deaths</x:v>
      </x:c>
      <x:c r="H12" t="n">
        <x:v>1</x:v>
      </x:c>
      <x:c r="I12"/>
      <x:c r="J12" t="n">
        <x:v>16905</x:v>
      </x:c>
      <x:c r="K12" t="str">
        <x:v>Iran - Israel, United States of America</x:v>
      </x:c>
      <x:c r="L12" t="n">
        <x:v>18868</x:v>
      </x:c>
      <x:c r="M12" t="n">
        <x:v>18868</x:v>
      </x:c>
      <x:c r="N12" t="str">
        <x:v>Government of Iran - Government of Israel, Government of United States of America</x:v>
      </x:c>
      <x:c r="O12" t="n">
        <x:v>114</x:v>
      </x:c>
      <x:c r="P12" t="n">
        <x:v>114</x:v>
      </x:c>
      <x:c r="Q12" t="str">
        <x:v>Government of Iran</x:v>
      </x:c>
      <x:c r="R12" t="n">
        <x:v>9865</x:v>
      </x:c>
      <x:c r="S12" t="n">
        <x:v>9865</x:v>
      </x:c>
      <x:c r="T12" t="str">
        <x:v>Government of Israel, Government of United States of America</x:v>
      </x:c>
      <x:c r="U12" t="n">
        <x:v>1</x:v>
      </x:c>
      <x:c r="V12" t="str">
        <x:v>"Al Jazeera English,2026-03-27,Iran emergency workers search for survivors after deadly US-Israel attacks"</x:v>
      </x:c>
      <x:c r="W12" t="str">
        <x:v>Al Jazeera English</x:v>
      </x:c>
      <x:c r="X12" t="str">
        <x:v>2026-03-27</x:v>
      </x:c>
      <x:c r="Y12" t="str">
        <x:v>Iran emergency workers search for survivors after deadly US-Israel attacks</x:v>
      </x:c>
      <x:c r="Z12" t="str">
        <x:v>Qom’s deputy governor</x:v>
      </x:c>
      <x:c r="AA12" t="n">
        <x:v>1</x:v>
      </x:c>
      <x:c r="AB12" t="str">
        <x:v>Qom town</x:v>
      </x:c>
      <x:c r="AC12" t="str">
        <x:v>Qom</x:v>
      </x:c>
      <x:c r="AD12" t="str">
        <x:v>Qom province</x:v>
      </x:c>
      <x:c r="AE12" t="str">
        <x:v>Qom county</x:v>
      </x:c>
      <x:c r="AF12" t="n">
        <x:v>34.6401</x:v>
      </x:c>
      <x:c r="AG12" t="n">
        <x:v>50.8764</x:v>
      </x:c>
      <x:c r="AH12" t="str">
        <x:v>POINT (50.8764 34.6401)</x:v>
      </x:c>
      <x:c r="AI12" t="n">
        <x:v>179742</x:v>
      </x:c>
      <x:c r="AJ12" t="str">
        <x:v>Iran</x:v>
      </x:c>
      <x:c r="AK12" t="n">
        <x:v>630</x:v>
      </x:c>
      <x:c r="AL12" t="str">
        <x:v>Middle East</x:v>
      </x:c>
      <x:c r="AM12" t="n">
        <x:v>1</x:v>
      </x:c>
      <x:c r="AN12" t="n">
        <x:v>1</x:v>
      </x:c>
      <x:c r="AO12" s="30" t="n">
        <x:v>46108</x:v>
      </x:c>
      <x:c r="AP12" s="30" t="n">
        <x:v>46108</x:v>
      </x:c>
      <x:c r="AQ12" t="n">
        <x:v>0</x:v>
      </x:c>
      <x:c r="AR12" t="n">
        <x:v>0</x:v>
      </x:c>
      <x:c r="AS12" t="n">
        <x:v>0</x:v>
      </x:c>
      <x:c r="AT12" t="n">
        <x:v>6</x:v>
      </x:c>
      <x:c r="AU12" t="n">
        <x:v>6</x:v>
      </x:c>
      <x:c r="AV12" t="n">
        <x:v>6</x:v>
      </x:c>
      <x:c r="AW12" t="n">
        <x:v>6</x:v>
      </x:c>
      <x:c r="AX12" t="n">
        <x:v>630</x:v>
      </x:c>
      <x:c r="AY12"/>
      <x:c r="AZ12" t="str">
        <x:v>Jan-Jun 2026 v26.01.26.06</x:v>
      </x:c>
    </x:row>
    <x:row r="13">
      <x:c r="A13" s="18" t="str">
        <x:v>Joint US-Israel</x:v>
      </x:c>
      <x:c r="B13" s="18" t="str">
        <x:v>Iran emergency workers search for survivors after deadly US-Israel attacks</x:v>
      </x:c>
      <x:c r="C13" t="n">
        <x:v>625364</x:v>
      </x:c>
      <x:c r="D13" t="str">
        <x:v>IRN-2026-1-18868-54</x:v>
      </x:c>
      <x:c r="E13" t="n">
        <x:v>2026</x:v>
      </x:c>
      <x:c r="F13" t="str">
        <x:v>true</x:v>
      </x:c>
      <x:c r="G13" t="str">
        <x:v>Check deaths</x:v>
      </x:c>
      <x:c r="H13" t="n">
        <x:v>1</x:v>
      </x:c>
      <x:c r="I13"/>
      <x:c r="J13" t="n">
        <x:v>16905</x:v>
      </x:c>
      <x:c r="K13" t="str">
        <x:v>Iran - Israel, United States of America</x:v>
      </x:c>
      <x:c r="L13" t="n">
        <x:v>18868</x:v>
      </x:c>
      <x:c r="M13" t="n">
        <x:v>18868</x:v>
      </x:c>
      <x:c r="N13" t="str">
        <x:v>Government of Iran - Government of Israel, Government of United States of America</x:v>
      </x:c>
      <x:c r="O13" t="n">
        <x:v>114</x:v>
      </x:c>
      <x:c r="P13" t="n">
        <x:v>114</x:v>
      </x:c>
      <x:c r="Q13" t="str">
        <x:v>Government of Iran</x:v>
      </x:c>
      <x:c r="R13" t="n">
        <x:v>9865</x:v>
      </x:c>
      <x:c r="S13" t="n">
        <x:v>9865</x:v>
      </x:c>
      <x:c r="T13" t="str">
        <x:v>Government of Israel, Government of United States of America</x:v>
      </x:c>
      <x:c r="U13" t="n">
        <x:v>1</x:v>
      </x:c>
      <x:c r="V13" t="str">
        <x:v>"Al Jazeera English,2026-03-27,Iran emergency workers search for survivors after deadly US-Israel attacks"</x:v>
      </x:c>
      <x:c r="W13" t="str">
        <x:v>Al Jazeera English</x:v>
      </x:c>
      <x:c r="X13" t="str">
        <x:v>2026-03-27</x:v>
      </x:c>
      <x:c r="Y13" t="str">
        <x:v>Iran emergency workers search for survivors after deadly US-Israel attacks</x:v>
      </x:c>
      <x:c r="Z13" t="str">
        <x:v>director-general of crisis management for the West Azerbaijan province</x:v>
      </x:c>
      <x:c r="AA13" t="n">
        <x:v>1</x:v>
      </x:c>
      <x:c r="AB13" t="str">
        <x:v>Urmia town</x:v>
      </x:c>
      <x:c r="AC13" t="str">
        <x:v>Urmia</x:v>
      </x:c>
      <x:c r="AD13" t="str">
        <x:v>West Azarbaijan province</x:v>
      </x:c>
      <x:c r="AE13" t="str">
        <x:v>Urmia county</x:v>
      </x:c>
      <x:c r="AF13" t="n">
        <x:v>37.555278</x:v>
      </x:c>
      <x:c r="AG13" t="n">
        <x:v>45.0725</x:v>
      </x:c>
      <x:c r="AH13" t="str">
        <x:v>POINT (45.0725 37.555278)</x:v>
      </x:c>
      <x:c r="AI13" t="n">
        <x:v>184051</x:v>
      </x:c>
      <x:c r="AJ13" t="str">
        <x:v>Iran</x:v>
      </x:c>
      <x:c r="AK13" t="n">
        <x:v>630</x:v>
      </x:c>
      <x:c r="AL13" t="str">
        <x:v>Middle East</x:v>
      </x:c>
      <x:c r="AM13" t="n">
        <x:v>1</x:v>
      </x:c>
      <x:c r="AN13" t="n">
        <x:v>1</x:v>
      </x:c>
      <x:c r="AO13" s="30" t="n">
        <x:v>46108</x:v>
      </x:c>
      <x:c r="AP13" s="30" t="n">
        <x:v>46108</x:v>
      </x:c>
      <x:c r="AQ13" t="n">
        <x:v>0</x:v>
      </x:c>
      <x:c r="AR13" t="n">
        <x:v>0</x:v>
      </x:c>
      <x:c r="AS13" t="n">
        <x:v>0</x:v>
      </x:c>
      <x:c r="AT13" t="n">
        <x:v>2</x:v>
      </x:c>
      <x:c r="AU13" t="n">
        <x:v>2</x:v>
      </x:c>
      <x:c r="AV13" t="n">
        <x:v>2</x:v>
      </x:c>
      <x:c r="AW13" t="n">
        <x:v>2</x:v>
      </x:c>
      <x:c r="AX13" t="n">
        <x:v>630</x:v>
      </x:c>
      <x:c r="AY13"/>
      <x:c r="AZ13" t="str">
        <x:v>Jan-Jun 2026 v26.01.26.06</x:v>
      </x:c>
    </x:row>
    <x:row r="14">
      <x:c r="A14" s="18" t="str">
        <x:v>Joint US-Israel</x:v>
      </x:c>
      <x:c r="B14" s="18" t="str">
        <x:v>US, Israeli strikes hit Iran port city near Hormuz strait: state media</x:v>
      </x:c>
      <x:c r="C14" t="n">
        <x:v>625366</x:v>
      </x:c>
      <x:c r="D14" t="str">
        <x:v>IRN-2026-1-18868-56</x:v>
      </x:c>
      <x:c r="E14" t="n">
        <x:v>2026</x:v>
      </x:c>
      <x:c r="F14" t="str">
        <x:v>true</x:v>
      </x:c>
      <x:c r="G14" t="str">
        <x:v>Clear</x:v>
      </x:c>
      <x:c r="H14" t="n">
        <x:v>1</x:v>
      </x:c>
      <x:c r="I14"/>
      <x:c r="J14" t="n">
        <x:v>16905</x:v>
      </x:c>
      <x:c r="K14" t="str">
        <x:v>Iran - Israel, United States of America</x:v>
      </x:c>
      <x:c r="L14" t="n">
        <x:v>18868</x:v>
      </x:c>
      <x:c r="M14" t="n">
        <x:v>18868</x:v>
      </x:c>
      <x:c r="N14" t="str">
        <x:v>Government of Iran - Government of Israel, Government of United States of America</x:v>
      </x:c>
      <x:c r="O14" t="n">
        <x:v>114</x:v>
      </x:c>
      <x:c r="P14" t="n">
        <x:v>114</x:v>
      </x:c>
      <x:c r="Q14" t="str">
        <x:v>Government of Iran</x:v>
      </x:c>
      <x:c r="R14" t="n">
        <x:v>9865</x:v>
      </x:c>
      <x:c r="S14" t="n">
        <x:v>9865</x:v>
      </x:c>
      <x:c r="T14" t="str">
        <x:v>Government of Israel, Government of United States of America</x:v>
      </x:c>
      <x:c r="U14" t="n">
        <x:v>2</x:v>
      </x:c>
      <x:c r="V14" t="str">
        <x:v>"Agence France Presse,2026-03-29,US, Israeli strikes hit Iran port city near Hormuz strait: state media";"Xinhua News Agency,2026-03-29,5 killed in U.S.-Israeli raid on port city in Iran"</x:v>
      </x:c>
      <x:c r="W14" t="str">
        <x:v>Agence France Presse;Xinhua News Agency</x:v>
      </x:c>
      <x:c r="X14" t="str">
        <x:v>2026-03-29;2026-03-29</x:v>
      </x:c>
      <x:c r="Y14" t="str">
        <x:v>US, Israeli strikes hit Iran port city near Hormuz strait: state media;5 killed in U.S.-Israeli raid on port city in Iran</x:v>
      </x:c>
      <x:c r="Z14" t="str">
        <x:v>official IRNA news agency</x:v>
      </x:c>
      <x:c r="AA14" t="n">
        <x:v>1</x:v>
      </x:c>
      <x:c r="AB14" t="str">
        <x:v>Bandar Pol town</x:v>
      </x:c>
      <x:c r="AC14" t="str">
        <x:v>Bandar Pol city of Khamir County</x:v>
      </x:c>
      <x:c r="AD14" t="str">
        <x:v>Hormozgan province</x:v>
      </x:c>
      <x:c r="AE14" t="str">
        <x:v>Khamir county</x:v>
      </x:c>
      <x:c r="AF14" t="n">
        <x:v>27.008333</x:v>
      </x:c>
      <x:c r="AG14" t="n">
        <x:v>55.738333</x:v>
      </x:c>
      <x:c r="AH14" t="str">
        <x:v>POINT (55.738333 27.008333)</x:v>
      </x:c>
      <x:c r="AI14" t="n">
        <x:v>168952</x:v>
      </x:c>
      <x:c r="AJ14" t="str">
        <x:v>Iran</x:v>
      </x:c>
      <x:c r="AK14" t="n">
        <x:v>630</x:v>
      </x:c>
      <x:c r="AL14" t="str">
        <x:v>Middle East</x:v>
      </x:c>
      <x:c r="AM14" t="n">
        <x:v>1</x:v>
      </x:c>
      <x:c r="AN14" t="n">
        <x:v>1</x:v>
      </x:c>
      <x:c r="AO14" s="30" t="n">
        <x:v>46110</x:v>
      </x:c>
      <x:c r="AP14" s="30" t="n">
        <x:v>46110</x:v>
      </x:c>
      <x:c r="AQ14" t="n">
        <x:v>0</x:v>
      </x:c>
      <x:c r="AR14" t="n">
        <x:v>0</x:v>
      </x:c>
      <x:c r="AS14" t="n">
        <x:v>0</x:v>
      </x:c>
      <x:c r="AT14" t="n">
        <x:v>5</x:v>
      </x:c>
      <x:c r="AU14" t="n">
        <x:v>5</x:v>
      </x:c>
      <x:c r="AV14" t="n">
        <x:v>5</x:v>
      </x:c>
      <x:c r="AW14" t="n">
        <x:v>5</x:v>
      </x:c>
      <x:c r="AX14" t="n">
        <x:v>630</x:v>
      </x:c>
      <x:c r="AY14"/>
      <x:c r="AZ14" t="str">
        <x:v>Jan-Jun 2026 v26.01.26.06</x:v>
      </x:c>
    </x:row>
    <x:row r="15">
      <x:c r="A15" s="18" t="str">
        <x:v>Joint US-Israel</x:v>
      </x:c>
      <x:c r="B15" s="18" t="str">
        <x:v>At least 15 killed in U.S.-Israeli strikes across two Iranian provinces</x:v>
      </x:c>
      <x:c r="C15" t="n">
        <x:v>625369</x:v>
      </x:c>
      <x:c r="D15" t="str">
        <x:v>IRN-2026-1-18868-59</x:v>
      </x:c>
      <x:c r="E15" t="n">
        <x:v>2026</x:v>
      </x:c>
      <x:c r="F15" t="str">
        <x:v>true</x:v>
      </x:c>
      <x:c r="G15" t="str">
        <x:v>Check deaths</x:v>
      </x:c>
      <x:c r="H15" t="n">
        <x:v>1</x:v>
      </x:c>
      <x:c r="I15"/>
      <x:c r="J15" t="n">
        <x:v>16905</x:v>
      </x:c>
      <x:c r="K15" t="str">
        <x:v>Iran - Israel, United States of America</x:v>
      </x:c>
      <x:c r="L15" t="n">
        <x:v>18868</x:v>
      </x:c>
      <x:c r="M15" t="n">
        <x:v>18868</x:v>
      </x:c>
      <x:c r="N15" t="str">
        <x:v>Government of Iran - Government of Israel, Government of United States of America</x:v>
      </x:c>
      <x:c r="O15" t="n">
        <x:v>114</x:v>
      </x:c>
      <x:c r="P15" t="n">
        <x:v>114</x:v>
      </x:c>
      <x:c r="Q15" t="str">
        <x:v>Government of Iran</x:v>
      </x:c>
      <x:c r="R15" t="n">
        <x:v>9865</x:v>
      </x:c>
      <x:c r="S15" t="n">
        <x:v>9865</x:v>
      </x:c>
      <x:c r="T15" t="str">
        <x:v>Government of Israel, Government of United States of America</x:v>
      </x:c>
      <x:c r="U15" t="n">
        <x:v>1</x:v>
      </x:c>
      <x:c r="V15" t="str">
        <x:v>"Xinhua News Agency,2026-03-31,At least 15 killed in U.S.-Israeli strikes across two Iranian provinces"</x:v>
      </x:c>
      <x:c r="W15" t="str">
        <x:v>Xinhua News Agency</x:v>
      </x:c>
      <x:c r="X15" t="str">
        <x:v>2026-03-31</x:v>
      </x:c>
      <x:c r="Y15" t="str">
        <x:v>At least 15 killed in U.S.-Israeli strikes across two Iranian provinces</x:v>
      </x:c>
      <x:c r="Z15" t="str">
        <x:v>deputy governor of Markazi province</x:v>
      </x:c>
      <x:c r="AA15" t="n">
        <x:v>3</x:v>
      </x:c>
      <x:c r="AB15" t="str">
        <x:v>Mahallat county</x:v>
      </x:c>
      <x:c r="AC15" t="str">
        <x:v>Mahallat County</x:v>
      </x:c>
      <x:c r="AD15" t="str">
        <x:v>Markazi province</x:v>
      </x:c>
      <x:c r="AE15" t="str">
        <x:v>Mahallat county</x:v>
      </x:c>
      <x:c r="AF15" t="n">
        <x:v>33.91667</x:v>
      </x:c>
      <x:c r="AG15" t="n">
        <x:v>50.41667</x:v>
      </x:c>
      <x:c r="AH15" t="str">
        <x:v>POINT (50.41667 33.91667)</x:v>
      </x:c>
      <x:c r="AI15" t="n">
        <x:v>178301</x:v>
      </x:c>
      <x:c r="AJ15" t="str">
        <x:v>Iran</x:v>
      </x:c>
      <x:c r="AK15" t="n">
        <x:v>630</x:v>
      </x:c>
      <x:c r="AL15" t="str">
        <x:v>Middle East</x:v>
      </x:c>
      <x:c r="AM15" t="n">
        <x:v>1</x:v>
      </x:c>
      <x:c r="AN15" t="n">
        <x:v>1</x:v>
      </x:c>
      <x:c r="AO15" s="30" t="n">
        <x:v>46111</x:v>
      </x:c>
      <x:c r="AP15" s="30" t="n">
        <x:v>46111</x:v>
      </x:c>
      <x:c r="AQ15" t="n">
        <x:v>0</x:v>
      </x:c>
      <x:c r="AR15" t="n">
        <x:v>0</x:v>
      </x:c>
      <x:c r="AS15" t="n">
        <x:v>5</x:v>
      </x:c>
      <x:c r="AT15" t="n">
        <x:v>6</x:v>
      </x:c>
      <x:c r="AU15" t="n">
        <x:v>11</x:v>
      </x:c>
      <x:c r="AV15" t="n">
        <x:v>11</x:v>
      </x:c>
      <x:c r="AW15" t="n">
        <x:v>11</x:v>
      </x:c>
      <x:c r="AX15" t="n">
        <x:v>630</x:v>
      </x:c>
      <x:c r="AY15"/>
      <x:c r="AZ15" t="str">
        <x:v>Jan-Jun 2026 v26.01.26.06</x:v>
      </x:c>
    </x:row>
    <x:row r="16">
      <x:c r="A16" s="18" t="str">
        <x:v>Joint US-Israel</x:v>
      </x:c>
      <x:c r="B16" s="18" t="str">
        <x:v>Deadly US-Israeli strikes damage religious site in Iran: media</x:v>
      </x:c>
      <x:c r="C16" t="n">
        <x:v>625368</x:v>
      </x:c>
      <x:c r="D16" t="str">
        <x:v>IRN-2026-1-18868-58</x:v>
      </x:c>
      <x:c r="E16" t="n">
        <x:v>2026</x:v>
      </x:c>
      <x:c r="F16" t="str">
        <x:v>true</x:v>
      </x:c>
      <x:c r="G16" t="str">
        <x:v>Clear</x:v>
      </x:c>
      <x:c r="H16" t="n">
        <x:v>1</x:v>
      </x:c>
      <x:c r="I16"/>
      <x:c r="J16" t="n">
        <x:v>16905</x:v>
      </x:c>
      <x:c r="K16" t="str">
        <x:v>Iran - Israel, United States of America</x:v>
      </x:c>
      <x:c r="L16" t="n">
        <x:v>18868</x:v>
      </x:c>
      <x:c r="M16" t="n">
        <x:v>18868</x:v>
      </x:c>
      <x:c r="N16" t="str">
        <x:v>Government of Iran - Government of Israel, Government of United States of America</x:v>
      </x:c>
      <x:c r="O16" t="n">
        <x:v>114</x:v>
      </x:c>
      <x:c r="P16" t="n">
        <x:v>114</x:v>
      </x:c>
      <x:c r="Q16" t="str">
        <x:v>Government of Iran</x:v>
      </x:c>
      <x:c r="R16" t="n">
        <x:v>9865</x:v>
      </x:c>
      <x:c r="S16" t="n">
        <x:v>9865</x:v>
      </x:c>
      <x:c r="T16" t="str">
        <x:v>Government of Israel, Government of United States of America</x:v>
      </x:c>
      <x:c r="U16" t="n">
        <x:v>1</x:v>
      </x:c>
      <x:c r="V16" t="str">
        <x:v>"Agence France Presse,2026-03-31,Deadly US-Israeli strikes damage religious site in Iran: media"</x:v>
      </x:c>
      <x:c r="W16" t="str">
        <x:v>Agence France Presse</x:v>
      </x:c>
      <x:c r="X16" t="str">
        <x:v>2026-03-31</x:v>
      </x:c>
      <x:c r="Y16" t="str">
        <x:v>Deadly US-Israeli strikes damage religious site in Iran: media</x:v>
      </x:c>
      <x:c r="Z16" t="str">
        <x:v>provincial deputy governor</x:v>
      </x:c>
      <x:c r="AA16" t="n">
        <x:v>1</x:v>
      </x:c>
      <x:c r="AB16" t="str">
        <x:v>Zanjan town</x:v>
      </x:c>
      <x:c r="AC16" t="str">
        <x:v>city of Zanjan</x:v>
      </x:c>
      <x:c r="AD16" t="str">
        <x:v>Zanjan province</x:v>
      </x:c>
      <x:c r="AE16" t="str">
        <x:v>Zanjan county</x:v>
      </x:c>
      <x:c r="AF16" t="n">
        <x:v>36.67642</x:v>
      </x:c>
      <x:c r="AG16" t="n">
        <x:v>48.49628</x:v>
      </x:c>
      <x:c r="AH16" t="str">
        <x:v>POINT (48.49628 36.67642)</x:v>
      </x:c>
      <x:c r="AI16" t="n">
        <x:v>182617</x:v>
      </x:c>
      <x:c r="AJ16" t="str">
        <x:v>Iran</x:v>
      </x:c>
      <x:c r="AK16" t="n">
        <x:v>630</x:v>
      </x:c>
      <x:c r="AL16" t="str">
        <x:v>Middle East</x:v>
      </x:c>
      <x:c r="AM16" t="n">
        <x:v>1</x:v>
      </x:c>
      <x:c r="AN16" t="n">
        <x:v>1</x:v>
      </x:c>
      <x:c r="AO16" s="30" t="n">
        <x:v>46112</x:v>
      </x:c>
      <x:c r="AP16" s="30" t="n">
        <x:v>46112</x:v>
      </x:c>
      <x:c r="AQ16" t="n">
        <x:v>0</x:v>
      </x:c>
      <x:c r="AR16" t="n">
        <x:v>0</x:v>
      </x:c>
      <x:c r="AS16" t="n">
        <x:v>0</x:v>
      </x:c>
      <x:c r="AT16" t="n">
        <x:v>4</x:v>
      </x:c>
      <x:c r="AU16" t="n">
        <x:v>4</x:v>
      </x:c>
      <x:c r="AV16" t="n">
        <x:v>4</x:v>
      </x:c>
      <x:c r="AW16" t="n">
        <x:v>4</x:v>
      </x:c>
      <x:c r="AX16" t="n">
        <x:v>630</x:v>
      </x:c>
      <x:c r="AY16"/>
      <x:c r="AZ16" t="str">
        <x:v>Jan-Jun 2026 v26.01.26.06</x:v>
      </x:c>
    </x:row>
    <x:row r="17">
      <x:c r="A17" s="18" t="str">
        <x:v>Joint US-Israel</x:v>
      </x:c>
      <x:c r="B17" s="18" t="str">
        <x:v>1st LD Writethru: 8 killed, 95 wounded in U.S.-Israeli attacks on bridge in N. Iran</x:v>
      </x:c>
      <x:c r="C17" t="n">
        <x:v>625373</x:v>
      </x:c>
      <x:c r="D17" t="str">
        <x:v>IRN-2026-1-18868-62</x:v>
      </x:c>
      <x:c r="E17" t="n">
        <x:v>2026</x:v>
      </x:c>
      <x:c r="F17" t="str">
        <x:v>true</x:v>
      </x:c>
      <x:c r="G17" t="str">
        <x:v>Clear</x:v>
      </x:c>
      <x:c r="H17" t="n">
        <x:v>1</x:v>
      </x:c>
      <x:c r="I17"/>
      <x:c r="J17" t="n">
        <x:v>16905</x:v>
      </x:c>
      <x:c r="K17" t="str">
        <x:v>Iran - Israel, United States of America</x:v>
      </x:c>
      <x:c r="L17" t="n">
        <x:v>18868</x:v>
      </x:c>
      <x:c r="M17" t="n">
        <x:v>18868</x:v>
      </x:c>
      <x:c r="N17" t="str">
        <x:v>Government of Iran - Government of Israel, Government of United States of America</x:v>
      </x:c>
      <x:c r="O17" t="n">
        <x:v>114</x:v>
      </x:c>
      <x:c r="P17" t="n">
        <x:v>114</x:v>
      </x:c>
      <x:c r="Q17" t="str">
        <x:v>Government of Iran</x:v>
      </x:c>
      <x:c r="R17" t="n">
        <x:v>9865</x:v>
      </x:c>
      <x:c r="S17" t="n">
        <x:v>9865</x:v>
      </x:c>
      <x:c r="T17" t="str">
        <x:v>Government of Israel, Government of United States of America</x:v>
      </x:c>
      <x:c r="U17" t="n">
        <x:v>2</x:v>
      </x:c>
      <x:c r="V17" t="str">
        <x:v>"Xinhua News Agency,2026-04-02,1st LD Writethru: 8 killed, 95 wounded in U.S.-Israeli attacks on bridge in N. Iran";"Xinhua News Agency,2026-04-03,Urgent: Death toll rises to 13 from U.S.-Israeli attacks on bridge in N. Iran -- media"</x:v>
      </x:c>
      <x:c r="W17" t="str">
        <x:v>Xinhua News Agency;Xinhua News Agency</x:v>
      </x:c>
      <x:c r="X17" t="str">
        <x:v>2026-04-02;2026-04-03</x:v>
      </x:c>
      <x:c r="Y17" t="str">
        <x:v>1st LD Writethru: 8 killed, 95 wounded in U.S.-Israeli attacks on bridge in N. Iran;Urgent: Death toll rises to 13 from U.S.-Israeli attacks on bridge in N. Iran -- media</x:v>
      </x:c>
      <x:c r="Z17" t="str">
        <x:v>director general of the provincial Foundation of Martyrs and Veterans Affairs, semi-official Mehr news agency</x:v>
      </x:c>
      <x:c r="AA17" t="n">
        <x:v>1</x:v>
      </x:c>
      <x:c r="AB17" t="str">
        <x:v>Karaj town</x:v>
      </x:c>
      <x:c r="AC17" t="str">
        <x:v>B1 bridge, Karaj</x:v>
      </x:c>
      <x:c r="AD17" t="str">
        <x:v>Alborz province</x:v>
      </x:c>
      <x:c r="AE17" t="str">
        <x:v>Karaj county</x:v>
      </x:c>
      <x:c r="AF17" t="n">
        <x:v>35.835556</x:v>
      </x:c>
      <x:c r="AG17" t="n">
        <x:v>51.010278</x:v>
      </x:c>
      <x:c r="AH17" t="str">
        <x:v>POINT (51.010278 35.835556)</x:v>
      </x:c>
      <x:c r="AI17" t="n">
        <x:v>181183</x:v>
      </x:c>
      <x:c r="AJ17" t="str">
        <x:v>Iran</x:v>
      </x:c>
      <x:c r="AK17" t="n">
        <x:v>630</x:v>
      </x:c>
      <x:c r="AL17" t="str">
        <x:v>Middle East</x:v>
      </x:c>
      <x:c r="AM17" t="n">
        <x:v>1</x:v>
      </x:c>
      <x:c r="AN17" t="n">
        <x:v>1</x:v>
      </x:c>
      <x:c r="AO17" s="30" t="n">
        <x:v>46114</x:v>
      </x:c>
      <x:c r="AP17" s="30" t="n">
        <x:v>46114</x:v>
      </x:c>
      <x:c r="AQ17" t="n">
        <x:v>0</x:v>
      </x:c>
      <x:c r="AR17" t="n">
        <x:v>0</x:v>
      </x:c>
      <x:c r="AS17" t="n">
        <x:v>8</x:v>
      </x:c>
      <x:c r="AT17" t="n">
        <x:v>5</x:v>
      </x:c>
      <x:c r="AU17" t="n">
        <x:v>13</x:v>
      </x:c>
      <x:c r="AV17" t="n">
        <x:v>13</x:v>
      </x:c>
      <x:c r="AW17" t="n">
        <x:v>13</x:v>
      </x:c>
      <x:c r="AX17" t="n">
        <x:v>630</x:v>
      </x:c>
      <x:c r="AY17"/>
      <x:c r="AZ17" t="str">
        <x:v>Jan-Jun 2026 v26.01.26.06</x:v>
      </x:c>
    </x:row>
    <x:row r="18">
      <x:c r="A18" s="18" t="str">
        <x:v>Joint US-Israel</x:v>
      </x:c>
      <x:c r="B18" s="18" t="str">
        <x:v>US-Israeli strike hits trade terminal at Iran-Iraq border, killing one: media</x:v>
      </x:c>
      <x:c r="C18" t="n">
        <x:v>628242</x:v>
      </x:c>
      <x:c r="D18" t="str">
        <x:v>IRN-2026-1-18868-81</x:v>
      </x:c>
      <x:c r="E18" t="n">
        <x:v>2026</x:v>
      </x:c>
      <x:c r="F18" t="str">
        <x:v>true</x:v>
      </x:c>
      <x:c r="G18" t="str">
        <x:v>Clear</x:v>
      </x:c>
      <x:c r="H18" t="n">
        <x:v>1</x:v>
      </x:c>
      <x:c r="I18"/>
      <x:c r="J18" t="n">
        <x:v>16905</x:v>
      </x:c>
      <x:c r="K18" t="str">
        <x:v>Iran - Israel, United States of America</x:v>
      </x:c>
      <x:c r="L18" t="n">
        <x:v>18868</x:v>
      </x:c>
      <x:c r="M18" t="n">
        <x:v>18868</x:v>
      </x:c>
      <x:c r="N18" t="str">
        <x:v>Government of Iran - Government of Israel, Government of United States of America</x:v>
      </x:c>
      <x:c r="O18" t="n">
        <x:v>114</x:v>
      </x:c>
      <x:c r="P18" t="n">
        <x:v>114</x:v>
      </x:c>
      <x:c r="Q18" t="str">
        <x:v>Government of Iran</x:v>
      </x:c>
      <x:c r="R18" t="n">
        <x:v>9865</x:v>
      </x:c>
      <x:c r="S18" t="n">
        <x:v>9865</x:v>
      </x:c>
      <x:c r="T18" t="str">
        <x:v>Government of Israel, Government of United States of America</x:v>
      </x:c>
      <x:c r="U18" t="n">
        <x:v>4</x:v>
      </x:c>
      <x:c r="V18" t="str">
        <x:v>"Reuters News,2026-04-04,IRAQ CLOSES SOUTHERN SHALAMCHEH BORDER CROSSING WITH IRAN AFTER
AIRSTRIKES ON IRANIAN SIDE KILL AN IRAQI TRAVELLER – SECURITY SOURCES";"Reuters News,2026-04-04,Iraq closes Shalamcheh crossing with Iran after airstrikes kill Iraqi";"Agence France Presse,2026-04-04,US-Israeli strike hits trade terminal at Iran-Iraq border, killing one: media";"Xinhua News Agency,2026-04-04,Iraq closes southern border crossing with Iran following deadly strike"</x:v>
      </x:c>
      <x:c r="W18" t="str">
        <x:v>Reuters News;Reuters News;Agence France Presse;Xinhua News Agency</x:v>
      </x:c>
      <x:c r="X18" t="str">
        <x:v>2026-04-04;2026-04-04;2026-04-04;2026-04-04</x:v>
      </x:c>
      <x:c r="Y18" t="str">
        <x:v>IRAQ CLOSES SOUTHERN SHALAMCHEH BORDER CROSSING WITH IRAN AFTER
AIRSTRIKES ON IRANIAN SIDE KILL AN IRAQI TRAVELLER – SECURITY SOURCES;Iraq closes Shalamcheh crossing with Iran after airstrikes kill Iraqi;US-Israeli strike hits trade terminal at Iran-Iraq border, killing one: media;Iraq closes southern border crossing with Iran following deadly strike</x:v>
      </x:c>
      <x:c r="Z18" t="str">
        <x:v>security sources, border staff</x:v>
      </x:c>
      <x:c r="AA18" t="n">
        <x:v>1</x:v>
      </x:c>
      <x:c r="AB18" t="str">
        <x:v>Shalamcheh border crossing</x:v>
      </x:c>
      <x:c r="AC18" t="str">
        <x:v>Shalamcheh crossing on Iran side</x:v>
      </x:c>
      <x:c r="AD18" t="str">
        <x:v>Khuzestan province</x:v>
      </x:c>
      <x:c r="AE18" t="str">
        <x:v>Khorramshahr county</x:v>
      </x:c>
      <x:c r="AF18" t="n">
        <x:v>30.50526</x:v>
      </x:c>
      <x:c r="AG18" t="n">
        <x:v>48.02656</x:v>
      </x:c>
      <x:c r="AH18" t="str">
        <x:v>POINT (48.02656 30.50526)</x:v>
      </x:c>
      <x:c r="AI18" t="n">
        <x:v>173977</x:v>
      </x:c>
      <x:c r="AJ18" t="str">
        <x:v>Iran</x:v>
      </x:c>
      <x:c r="AK18" t="n">
        <x:v>630</x:v>
      </x:c>
      <x:c r="AL18" t="str">
        <x:v>Middle East</x:v>
      </x:c>
      <x:c r="AM18" t="n">
        <x:v>1</x:v>
      </x:c>
      <x:c r="AN18" t="n">
        <x:v>1</x:v>
      </x:c>
      <x:c r="AO18" s="30" t="n">
        <x:v>46116</x:v>
      </x:c>
      <x:c r="AP18" s="30" t="n">
        <x:v>46116</x:v>
      </x:c>
      <x:c r="AQ18" t="n">
        <x:v>0</x:v>
      </x:c>
      <x:c r="AR18" t="n">
        <x:v>0</x:v>
      </x:c>
      <x:c r="AS18" t="n">
        <x:v>1</x:v>
      </x:c>
      <x:c r="AT18" t="n">
        <x:v>0</x:v>
      </x:c>
      <x:c r="AU18" t="n">
        <x:v>1</x:v>
      </x:c>
      <x:c r="AV18" t="n">
        <x:v>1</x:v>
      </x:c>
      <x:c r="AW18" t="n">
        <x:v>1</x:v>
      </x:c>
      <x:c r="AX18" t="n">
        <x:v>630</x:v>
      </x:c>
      <x:c r="AY18"/>
      <x:c r="AZ18" t="str">
        <x:v>Jan-Jun 2026 v26.01.26.06</x:v>
      </x:c>
    </x:row>
    <x:row r="19">
      <x:c r="A19" s="18" t="str">
        <x:v>Joint US-Israel</x:v>
      </x:c>
      <x:c r="B19" s="18" t="str">
        <x:v>US-Israeli strike on Iran's Bushehr nuclear plant kills one: state media</x:v>
      </x:c>
      <x:c r="C19" t="n">
        <x:v>629298</x:v>
      </x:c>
      <x:c r="D19" t="str">
        <x:v>IRN-2026-1-18868-80</x:v>
      </x:c>
      <x:c r="E19" t="n">
        <x:v>2026</x:v>
      </x:c>
      <x:c r="F19" t="str">
        <x:v>true</x:v>
      </x:c>
      <x:c r="G19" t="str">
        <x:v>Check geography</x:v>
      </x:c>
      <x:c r="H19" t="n">
        <x:v>1</x:v>
      </x:c>
      <x:c r="I19"/>
      <x:c r="J19" t="n">
        <x:v>16905</x:v>
      </x:c>
      <x:c r="K19" t="str">
        <x:v>Iran - Israel, United States of America</x:v>
      </x:c>
      <x:c r="L19" t="n">
        <x:v>18868</x:v>
      </x:c>
      <x:c r="M19" t="n">
        <x:v>18868</x:v>
      </x:c>
      <x:c r="N19" t="str">
        <x:v>Government of Iran - Government of Israel, Government of United States of America</x:v>
      </x:c>
      <x:c r="O19" t="n">
        <x:v>114</x:v>
      </x:c>
      <x:c r="P19" t="n">
        <x:v>114</x:v>
      </x:c>
      <x:c r="Q19" t="str">
        <x:v>Government of Iran</x:v>
      </x:c>
      <x:c r="R19" t="n">
        <x:v>9865</x:v>
      </x:c>
      <x:c r="S19" t="n">
        <x:v>9865</x:v>
      </x:c>
      <x:c r="T19" t="str">
        <x:v>Government of Israel, Government of United States of America</x:v>
      </x:c>
      <x:c r="U19" t="n">
        <x:v>1</x:v>
      </x:c>
      <x:c r="V19" t="str">
        <x:v>"Agence France Presse,2026-04-04,US-Israeli strike on Iran's Bushehr nuclear plant kills one: state media"</x:v>
      </x:c>
      <x:c r="W19" t="str">
        <x:v>Agence France Presse</x:v>
      </x:c>
      <x:c r="X19" t="str">
        <x:v>2026-04-04</x:v>
      </x:c>
      <x:c r="Y19" t="str">
        <x:v>US-Israeli strike on Iran's Bushehr nuclear plant kills one: state media</x:v>
      </x:c>
      <x:c r="Z19" t="str">
        <x:v>official IRNA news agency.</x:v>
      </x:c>
      <x:c r="AA19" t="n">
        <x:v>1</x:v>
      </x:c>
      <x:c r="AB19" t="str">
        <x:v>Bushehr town</x:v>
      </x:c>
      <x:c r="AC19" t="str">
        <x:v>Bushehr nuclear power plant</x:v>
      </x:c>
      <x:c r="AD19" t="str">
        <x:v>Bushehr province</x:v>
      </x:c>
      <x:c r="AE19" t="str">
        <x:v>Bushehr county</x:v>
      </x:c>
      <x:c r="AF19" t="n">
        <x:v>28.96887</x:v>
      </x:c>
      <x:c r="AG19" t="n">
        <x:v>50.83657</x:v>
      </x:c>
      <x:c r="AH19" t="str">
        <x:v>POINT (50.83657 28.96887)</x:v>
      </x:c>
      <x:c r="AI19" t="n">
        <x:v>171102</x:v>
      </x:c>
      <x:c r="AJ19" t="str">
        <x:v>Iran</x:v>
      </x:c>
      <x:c r="AK19" t="n">
        <x:v>630</x:v>
      </x:c>
      <x:c r="AL19" t="str">
        <x:v>Middle East</x:v>
      </x:c>
      <x:c r="AM19" t="n">
        <x:v>1</x:v>
      </x:c>
      <x:c r="AN19" t="n">
        <x:v>1</x:v>
      </x:c>
      <x:c r="AO19" s="30" t="n">
        <x:v>46116</x:v>
      </x:c>
      <x:c r="AP19" s="30" t="n">
        <x:v>46116</x:v>
      </x:c>
      <x:c r="AQ19" t="n">
        <x:v>0</x:v>
      </x:c>
      <x:c r="AR19" t="n">
        <x:v>0</x:v>
      </x:c>
      <x:c r="AS19" t="n">
        <x:v>0</x:v>
      </x:c>
      <x:c r="AT19" t="n">
        <x:v>1</x:v>
      </x:c>
      <x:c r="AU19" t="n">
        <x:v>1</x:v>
      </x:c>
      <x:c r="AV19" t="n">
        <x:v>1</x:v>
      </x:c>
      <x:c r="AW19" t="n">
        <x:v>1</x:v>
      </x:c>
      <x:c r="AX19" t="n">
        <x:v>630</x:v>
      </x:c>
      <x:c r="AY19"/>
      <x:c r="AZ19" t="str">
        <x:v>Jan-Jun 2026 v26.01.26.06</x:v>
      </x:c>
    </x:row>
    <x:row r="20">
      <x:c r="A20" s="18" t="str">
        <x:v>Joint US-Israel</x:v>
      </x:c>
      <x:c r="B20" s="18" t="str">
        <x:v>US, Israel strike Iran petrochemicals hub</x:v>
      </x:c>
      <x:c r="C20" t="n">
        <x:v>629314</x:v>
      </x:c>
      <x:c r="D20" t="str">
        <x:v>IRN-2026-1-18868-98</x:v>
      </x:c>
      <x:c r="E20" t="n">
        <x:v>2026</x:v>
      </x:c>
      <x:c r="F20" t="str">
        <x:v>true</x:v>
      </x:c>
      <x:c r="G20" t="str">
        <x:v>Clear</x:v>
      </x:c>
      <x:c r="H20" t="n">
        <x:v>1</x:v>
      </x:c>
      <x:c r="I20"/>
      <x:c r="J20" t="n">
        <x:v>16905</x:v>
      </x:c>
      <x:c r="K20" t="str">
        <x:v>Iran - Israel, United States of America</x:v>
      </x:c>
      <x:c r="L20" t="n">
        <x:v>18868</x:v>
      </x:c>
      <x:c r="M20" t="n">
        <x:v>18868</x:v>
      </x:c>
      <x:c r="N20" t="str">
        <x:v>Government of Iran - Government of Israel, Government of United States of America</x:v>
      </x:c>
      <x:c r="O20" t="n">
        <x:v>114</x:v>
      </x:c>
      <x:c r="P20" t="n">
        <x:v>114</x:v>
      </x:c>
      <x:c r="Q20" t="str">
        <x:v>Government of Iran</x:v>
      </x:c>
      <x:c r="R20" t="n">
        <x:v>9865</x:v>
      </x:c>
      <x:c r="S20" t="n">
        <x:v>9865</x:v>
      </x:c>
      <x:c r="T20" t="str">
        <x:v>Government of Israel, Government of United States of America</x:v>
      </x:c>
      <x:c r="U20" t="n">
        <x:v>1</x:v>
      </x:c>
      <x:c r="V20" t="str">
        <x:v>"Agence France Presse,2026-04-07,US, Israel strike Iran petrochemicals hub"</x:v>
      </x:c>
      <x:c r="W20" t="str">
        <x:v>Agence France Presse</x:v>
      </x:c>
      <x:c r="X20" t="str">
        <x:v>2026-04-07</x:v>
      </x:c>
      <x:c r="Y20" t="str">
        <x:v>US, Israel strike Iran petrochemicals hub</x:v>
      </x:c>
      <x:c r="Z20" t="str">
        <x:v>deputy governor of the southwestern Khuzestan province</x:v>
      </x:c>
      <x:c r="AA20" t="n">
        <x:v>1</x:v>
      </x:c>
      <x:c r="AB20" t="str">
        <x:v>Bandar-e Mahshahr town</x:v>
      </x:c>
      <x:c r="AC20" t="str">
        <x:v>Mahshahr</x:v>
      </x:c>
      <x:c r="AD20" t="str">
        <x:v>Khuzestan province</x:v>
      </x:c>
      <x:c r="AE20" t="str">
        <x:v>Bandar-e Mahshahr county</x:v>
      </x:c>
      <x:c r="AF20" t="n">
        <x:v>30.5543</x:v>
      </x:c>
      <x:c r="AG20" t="n">
        <x:v>49.18589</x:v>
      </x:c>
      <x:c r="AH20" t="str">
        <x:v>POINT (49.18589 30.5543)</x:v>
      </x:c>
      <x:c r="AI20" t="n">
        <x:v>173979</x:v>
      </x:c>
      <x:c r="AJ20" t="str">
        <x:v>Iran</x:v>
      </x:c>
      <x:c r="AK20" t="n">
        <x:v>630</x:v>
      </x:c>
      <x:c r="AL20" t="str">
        <x:v>Middle East</x:v>
      </x:c>
      <x:c r="AM20" t="n">
        <x:v>1</x:v>
      </x:c>
      <x:c r="AN20" t="n">
        <x:v>1</x:v>
      </x:c>
      <x:c r="AO20" s="30" t="n">
        <x:v>46116</x:v>
      </x:c>
      <x:c r="AP20" s="30" t="n">
        <x:v>46116</x:v>
      </x:c>
      <x:c r="AQ20" t="n">
        <x:v>0</x:v>
      </x:c>
      <x:c r="AR20" t="n">
        <x:v>0</x:v>
      </x:c>
      <x:c r="AS20" t="n">
        <x:v>0</x:v>
      </x:c>
      <x:c r="AT20" t="n">
        <x:v>5</x:v>
      </x:c>
      <x:c r="AU20" t="n">
        <x:v>5</x:v>
      </x:c>
      <x:c r="AV20" t="n">
        <x:v>5</x:v>
      </x:c>
      <x:c r="AW20" t="n">
        <x:v>5</x:v>
      </x:c>
      <x:c r="AX20" t="n">
        <x:v>630</x:v>
      </x:c>
      <x:c r="AY20"/>
      <x:c r="AZ20" t="str">
        <x:v>Jan-Jun 2026 v26.01.26.06</x:v>
      </x:c>
    </x:row>
    <x:row r="21">
      <x:c r="A21" s="18" t="str">
        <x:v>Joint US-Israel</x:v>
      </x:c>
      <x:c r="B21" s="18" t="str">
        <x:v>US-Israeli strikes kill five Guards members in northwest Iran: state media</x:v>
      </x:c>
      <x:c r="C21" t="n">
        <x:v>629302</x:v>
      </x:c>
      <x:c r="D21" t="str">
        <x:v>IRN-2026-1-18868-84</x:v>
      </x:c>
      <x:c r="E21" t="n">
        <x:v>2026</x:v>
      </x:c>
      <x:c r="F21" t="str">
        <x:v>true</x:v>
      </x:c>
      <x:c r="G21" t="str">
        <x:v>Check geography</x:v>
      </x:c>
      <x:c r="H21" t="n">
        <x:v>1</x:v>
      </x:c>
      <x:c r="I21"/>
      <x:c r="J21" t="n">
        <x:v>16905</x:v>
      </x:c>
      <x:c r="K21" t="str">
        <x:v>Iran - Israel, United States of America</x:v>
      </x:c>
      <x:c r="L21" t="n">
        <x:v>18868</x:v>
      </x:c>
      <x:c r="M21" t="n">
        <x:v>18868</x:v>
      </x:c>
      <x:c r="N21" t="str">
        <x:v>Government of Iran - Government of Israel, Government of United States of America</x:v>
      </x:c>
      <x:c r="O21" t="n">
        <x:v>114</x:v>
      </x:c>
      <x:c r="P21" t="n">
        <x:v>114</x:v>
      </x:c>
      <x:c r="Q21" t="str">
        <x:v>Government of Iran</x:v>
      </x:c>
      <x:c r="R21" t="n">
        <x:v>9865</x:v>
      </x:c>
      <x:c r="S21" t="n">
        <x:v>9865</x:v>
      </x:c>
      <x:c r="T21" t="str">
        <x:v>Government of Israel, Government of United States of America</x:v>
      </x:c>
      <x:c r="U21" t="n">
        <x:v>1</x:v>
      </x:c>
      <x:c r="V21" t="str">
        <x:v>"Agence France Presse,2026-04-05,US-Israeli strikes kill five Guards members in northwest Iran: state media"</x:v>
      </x:c>
      <x:c r="W21" t="str">
        <x:v>Agence France Presse</x:v>
      </x:c>
      <x:c r="X21" t="str">
        <x:v>2026-04-05</x:v>
      </x:c>
      <x:c r="Y21" t="str">
        <x:v>US-Israeli strikes kill five Guards members in northwest Iran: state media</x:v>
      </x:c>
      <x:c r="Z21" t="str">
        <x:v>Iran's official IRNA news agency</x:v>
      </x:c>
      <x:c r="AA21" t="n">
        <x:v>4</x:v>
      </x:c>
      <x:c r="AB21" t="str">
        <x:v>Ardebil province</x:v>
      </x:c>
      <x:c r="AC21" t="str">
        <x:v>Moghan Plain</x:v>
      </x:c>
      <x:c r="AD21" t="str">
        <x:v>Ardebil province</x:v>
      </x:c>
      <x:c r="AE21"/>
      <x:c r="AF21" t="n">
        <x:v>38.2514</x:v>
      </x:c>
      <x:c r="AG21" t="n">
        <x:v>48.2973</x:v>
      </x:c>
      <x:c r="AH21" t="str">
        <x:v>POINT (48.2973 38.2514)</x:v>
      </x:c>
      <x:c r="AI21" t="n">
        <x:v>184777</x:v>
      </x:c>
      <x:c r="AJ21" t="str">
        <x:v>Iran</x:v>
      </x:c>
      <x:c r="AK21" t="n">
        <x:v>630</x:v>
      </x:c>
      <x:c r="AL21" t="str">
        <x:v>Middle East</x:v>
      </x:c>
      <x:c r="AM21" t="n">
        <x:v>1</x:v>
      </x:c>
      <x:c r="AN21" t="n">
        <x:v>1</x:v>
      </x:c>
      <x:c r="AO21" s="30" t="n">
        <x:v>46117</x:v>
      </x:c>
      <x:c r="AP21" s="30" t="n">
        <x:v>46117</x:v>
      </x:c>
      <x:c r="AQ21" t="n">
        <x:v>5</x:v>
      </x:c>
      <x:c r="AR21" t="n">
        <x:v>0</x:v>
      </x:c>
      <x:c r="AS21" t="n">
        <x:v>0</x:v>
      </x:c>
      <x:c r="AT21" t="n">
        <x:v>0</x:v>
      </x:c>
      <x:c r="AU21" t="n">
        <x:v>5</x:v>
      </x:c>
      <x:c r="AV21" t="n">
        <x:v>5</x:v>
      </x:c>
      <x:c r="AW21" t="n">
        <x:v>5</x:v>
      </x:c>
      <x:c r="AX21" t="n">
        <x:v>630</x:v>
      </x:c>
      <x:c r="AY21"/>
      <x:c r="AZ21" t="str">
        <x:v>Jan-Jun 2026 v26.01.26.06</x:v>
      </x:c>
    </x:row>
    <x:row r="22">
      <x:c r="A22" s="18" t="str">
        <x:v>Joint US-Israel</x:v>
      </x:c>
      <x:c r="B22" s="18" t="str">
        <x:v>US-Israeli strikes kill Iran Guards intelligence chief: Guards</x:v>
      </x:c>
      <x:c r="C22" t="n">
        <x:v>629305</x:v>
      </x:c>
      <x:c r="D22" t="str">
        <x:v>IRN-2026-1-18868-87</x:v>
      </x:c>
      <x:c r="E22" t="n">
        <x:v>2026</x:v>
      </x:c>
      <x:c r="F22" t="str">
        <x:v>true</x:v>
      </x:c>
      <x:c r="G22" t="str">
        <x:v>Clear</x:v>
      </x:c>
      <x:c r="H22" t="n">
        <x:v>1</x:v>
      </x:c>
      <x:c r="I22"/>
      <x:c r="J22" t="n">
        <x:v>16905</x:v>
      </x:c>
      <x:c r="K22" t="str">
        <x:v>Iran - Israel, United States of America</x:v>
      </x:c>
      <x:c r="L22" t="n">
        <x:v>18868</x:v>
      </x:c>
      <x:c r="M22" t="n">
        <x:v>18868</x:v>
      </x:c>
      <x:c r="N22" t="str">
        <x:v>Government of Iran - Government of Israel, Government of United States of America</x:v>
      </x:c>
      <x:c r="O22" t="n">
        <x:v>114</x:v>
      </x:c>
      <x:c r="P22" t="n">
        <x:v>114</x:v>
      </x:c>
      <x:c r="Q22" t="str">
        <x:v>Government of Iran</x:v>
      </x:c>
      <x:c r="R22" t="n">
        <x:v>9865</x:v>
      </x:c>
      <x:c r="S22" t="n">
        <x:v>9865</x:v>
      </x:c>
      <x:c r="T22" t="str">
        <x:v>Government of Israel, Government of United States of America</x:v>
      </x:c>
      <x:c r="U22" t="n">
        <x:v>1</x:v>
      </x:c>
      <x:c r="V22" t="str">
        <x:v>"Agence France Presse,2026-04-06,US-Israeli strikes kill Iran Guards intelligence chief: Guards"</x:v>
      </x:c>
      <x:c r="W22" t="str">
        <x:v>Agence France Presse</x:v>
      </x:c>
      <x:c r="X22" t="str">
        <x:v>2026-04-06</x:v>
      </x:c>
      <x:c r="Y22" t="str">
        <x:v>US-Israeli strikes kill Iran Guards intelligence chief: Guards</x:v>
      </x:c>
      <x:c r="Z22" t="str">
        <x:v>IRGC</x:v>
      </x:c>
      <x:c r="AA22" t="n">
        <x:v>1</x:v>
      </x:c>
      <x:c r="AB22" t="str">
        <x:v>Tehran city</x:v>
      </x:c>
      <x:c r="AC22" t="str">
        <x:v>Tehran</x:v>
      </x:c>
      <x:c r="AD22" t="str">
        <x:v>Tehran province</x:v>
      </x:c>
      <x:c r="AE22" t="str">
        <x:v>Tehran county</x:v>
      </x:c>
      <x:c r="AF22" t="n">
        <x:v>35.696111</x:v>
      </x:c>
      <x:c r="AG22" t="n">
        <x:v>51.423056</x:v>
      </x:c>
      <x:c r="AH22" t="str">
        <x:v>POINT (51.423056 35.696111)</x:v>
      </x:c>
      <x:c r="AI22" t="n">
        <x:v>181183</x:v>
      </x:c>
      <x:c r="AJ22" t="str">
        <x:v>Iran</x:v>
      </x:c>
      <x:c r="AK22" t="n">
        <x:v>630</x:v>
      </x:c>
      <x:c r="AL22" t="str">
        <x:v>Middle East</x:v>
      </x:c>
      <x:c r="AM22" t="n">
        <x:v>1</x:v>
      </x:c>
      <x:c r="AN22" t="n">
        <x:v>1</x:v>
      </x:c>
      <x:c r="AO22" s="30" t="n">
        <x:v>46118</x:v>
      </x:c>
      <x:c r="AP22" s="30" t="n">
        <x:v>46118</x:v>
      </x:c>
      <x:c r="AQ22" t="n">
        <x:v>1</x:v>
      </x:c>
      <x:c r="AR22" t="n">
        <x:v>0</x:v>
      </x:c>
      <x:c r="AS22" t="n">
        <x:v>0</x:v>
      </x:c>
      <x:c r="AT22" t="n">
        <x:v>0</x:v>
      </x:c>
      <x:c r="AU22" t="n">
        <x:v>1</x:v>
      </x:c>
      <x:c r="AV22" t="n">
        <x:v>1</x:v>
      </x:c>
      <x:c r="AW22" t="n">
        <x:v>1</x:v>
      </x:c>
      <x:c r="AX22" t="n">
        <x:v>630</x:v>
      </x:c>
      <x:c r="AY22"/>
      <x:c r="AZ22" t="str">
        <x:v>Jan-Jun 2026 v26.01.26.06</x:v>
      </x:c>
    </x:row>
    <x:row r="23">
      <x:c r="A23" s="18" t="str">
        <x:v>Joint US-Israel</x:v>
      </x:c>
      <x:c r="B23" s="18" t="str">
        <x:v>Iran’s top university bombed as US, Israel intensify attacks</x:v>
      </x:c>
      <x:c r="C23" t="n">
        <x:v>629306</x:v>
      </x:c>
      <x:c r="D23" t="str">
        <x:v>IRN-2026-1-18868-88</x:v>
      </x:c>
      <x:c r="E23" t="n">
        <x:v>2026</x:v>
      </x:c>
      <x:c r="F23" t="str">
        <x:v>true</x:v>
      </x:c>
      <x:c r="G23" t="str">
        <x:v>Clear</x:v>
      </x:c>
      <x:c r="H23" t="n">
        <x:v>1</x:v>
      </x:c>
      <x:c r="I23"/>
      <x:c r="J23" t="n">
        <x:v>16905</x:v>
      </x:c>
      <x:c r="K23" t="str">
        <x:v>Iran - Israel, United States of America</x:v>
      </x:c>
      <x:c r="L23" t="n">
        <x:v>18868</x:v>
      </x:c>
      <x:c r="M23" t="n">
        <x:v>18868</x:v>
      </x:c>
      <x:c r="N23" t="str">
        <x:v>Government of Iran - Government of Israel, Government of United States of America</x:v>
      </x:c>
      <x:c r="O23" t="n">
        <x:v>114</x:v>
      </x:c>
      <x:c r="P23" t="n">
        <x:v>114</x:v>
      </x:c>
      <x:c r="Q23" t="str">
        <x:v>Government of Iran</x:v>
      </x:c>
      <x:c r="R23" t="n">
        <x:v>9865</x:v>
      </x:c>
      <x:c r="S23" t="n">
        <x:v>9865</x:v>
      </x:c>
      <x:c r="T23" t="str">
        <x:v>Government of Israel, Government of United States of America</x:v>
      </x:c>
      <x:c r="U23" t="n">
        <x:v>1</x:v>
      </x:c>
      <x:c r="V23" t="str">
        <x:v>"Al Jazeera English,2026-04-06,Iran’s top university bombed as US, Israel intensify attacks; 34 killed"</x:v>
      </x:c>
      <x:c r="W23" t="str">
        <x:v>Al Jazeera English</x:v>
      </x:c>
      <x:c r="X23" t="str">
        <x:v>2026-04-06</x:v>
      </x:c>
      <x:c r="Y23" t="str">
        <x:v>Iran’s top university bombed as US, Israel intensify attacks; 34 killed</x:v>
      </x:c>
      <x:c r="Z23" t="str">
        <x:v>Fars news agency</x:v>
      </x:c>
      <x:c r="AA23" t="n">
        <x:v>3</x:v>
      </x:c>
      <x:c r="AB23" t="str">
        <x:v>Baharestan county</x:v>
      </x:c>
      <x:c r="AC23" t="str">
        <x:v>Baharestan County</x:v>
      </x:c>
      <x:c r="AD23" t="str">
        <x:v>Tehran province</x:v>
      </x:c>
      <x:c r="AE23" t="str">
        <x:v>Baharestan county</x:v>
      </x:c>
      <x:c r="AF23" t="n">
        <x:v>35.53333</x:v>
      </x:c>
      <x:c r="AG23" t="n">
        <x:v>51.15</x:v>
      </x:c>
      <x:c r="AH23" t="str">
        <x:v>POINT (51.15 35.53333)</x:v>
      </x:c>
      <x:c r="AI23" t="n">
        <x:v>181183</x:v>
      </x:c>
      <x:c r="AJ23" t="str">
        <x:v>Iran</x:v>
      </x:c>
      <x:c r="AK23" t="n">
        <x:v>630</x:v>
      </x:c>
      <x:c r="AL23" t="str">
        <x:v>Middle East</x:v>
      </x:c>
      <x:c r="AM23" t="n">
        <x:v>1</x:v>
      </x:c>
      <x:c r="AN23" t="n">
        <x:v>1</x:v>
      </x:c>
      <x:c r="AO23" s="30" t="n">
        <x:v>46118</x:v>
      </x:c>
      <x:c r="AP23" s="30" t="n">
        <x:v>46118</x:v>
      </x:c>
      <x:c r="AQ23" t="n">
        <x:v>0</x:v>
      </x:c>
      <x:c r="AR23" t="n">
        <x:v>0</x:v>
      </x:c>
      <x:c r="AS23" t="n">
        <x:v>6</x:v>
      </x:c>
      <x:c r="AT23" t="n">
        <x:v>17</x:v>
      </x:c>
      <x:c r="AU23" t="n">
        <x:v>23</x:v>
      </x:c>
      <x:c r="AV23" t="n">
        <x:v>23</x:v>
      </x:c>
      <x:c r="AW23" t="n">
        <x:v>23</x:v>
      </x:c>
      <x:c r="AX23" t="n">
        <x:v>630</x:v>
      </x:c>
      <x:c r="AY23"/>
      <x:c r="AZ23" t="str">
        <x:v>Jan-Jun 2026 v26.01.26.06</x:v>
      </x:c>
    </x:row>
    <x:row r="24">
      <x:c r="A24" s="18" t="str">
        <x:v>Joint US-Israel</x:v>
      </x:c>
      <x:c r="B24" s="18" t="str">
        <x:v>Iran’s top university bombed as US, Israel intensify attacks</x:v>
      </x:c>
      <x:c r="C24" t="n">
        <x:v>629307</x:v>
      </x:c>
      <x:c r="D24" t="str">
        <x:v>IRN-2026-1-18868-91</x:v>
      </x:c>
      <x:c r="E24" t="n">
        <x:v>2026</x:v>
      </x:c>
      <x:c r="F24" t="str">
        <x:v>true</x:v>
      </x:c>
      <x:c r="G24" t="str">
        <x:v>Clear</x:v>
      </x:c>
      <x:c r="H24" t="n">
        <x:v>1</x:v>
      </x:c>
      <x:c r="I24"/>
      <x:c r="J24" t="n">
        <x:v>16905</x:v>
      </x:c>
      <x:c r="K24" t="str">
        <x:v>Iran - Israel, United States of America</x:v>
      </x:c>
      <x:c r="L24" t="n">
        <x:v>18868</x:v>
      </x:c>
      <x:c r="M24" t="n">
        <x:v>18868</x:v>
      </x:c>
      <x:c r="N24" t="str">
        <x:v>Government of Iran - Government of Israel, Government of United States of America</x:v>
      </x:c>
      <x:c r="O24" t="n">
        <x:v>114</x:v>
      </x:c>
      <x:c r="P24" t="n">
        <x:v>114</x:v>
      </x:c>
      <x:c r="Q24" t="str">
        <x:v>Government of Iran</x:v>
      </x:c>
      <x:c r="R24" t="n">
        <x:v>9865</x:v>
      </x:c>
      <x:c r="S24" t="n">
        <x:v>9865</x:v>
      </x:c>
      <x:c r="T24" t="str">
        <x:v>Government of Israel, Government of United States of America</x:v>
      </x:c>
      <x:c r="U24" t="n">
        <x:v>1</x:v>
      </x:c>
      <x:c r="V24" t="str">
        <x:v>"Al Jazeera English,2026-04-06,Iran’s top university bombed as US, Israel intensify attacks; 34 killed"</x:v>
      </x:c>
      <x:c r="W24" t="str">
        <x:v>Al Jazeera English</x:v>
      </x:c>
      <x:c r="X24" t="str">
        <x:v>2026-04-06</x:v>
      </x:c>
      <x:c r="Y24" t="str">
        <x:v>Iran’s top university bombed as US, Israel intensify attacks; 34 killed</x:v>
      </x:c>
      <x:c r="Z24" t="str">
        <x:v>authorities</x:v>
      </x:c>
      <x:c r="AA24" t="n">
        <x:v>1</x:v>
      </x:c>
      <x:c r="AB24" t="str">
        <x:v>Bandar Lengeh town</x:v>
      </x:c>
      <x:c r="AC24" t="str">
        <x:v>Bandar-e Lengeh</x:v>
      </x:c>
      <x:c r="AD24" t="str">
        <x:v>Hormozgan province</x:v>
      </x:c>
      <x:c r="AE24" t="str">
        <x:v>Bandar Lengeh county</x:v>
      </x:c>
      <x:c r="AF24" t="n">
        <x:v>26.56777</x:v>
      </x:c>
      <x:c r="AG24" t="n">
        <x:v>54.893317</x:v>
      </x:c>
      <x:c r="AH24" t="str">
        <x:v>POINT (54.893317 26.56777)</x:v>
      </x:c>
      <x:c r="AI24" t="n">
        <x:v>168230</x:v>
      </x:c>
      <x:c r="AJ24" t="str">
        <x:v>Iran</x:v>
      </x:c>
      <x:c r="AK24" t="n">
        <x:v>630</x:v>
      </x:c>
      <x:c r="AL24" t="str">
        <x:v>Middle East</x:v>
      </x:c>
      <x:c r="AM24" t="n">
        <x:v>1</x:v>
      </x:c>
      <x:c r="AN24" t="n">
        <x:v>1</x:v>
      </x:c>
      <x:c r="AO24" s="30" t="n">
        <x:v>46118</x:v>
      </x:c>
      <x:c r="AP24" s="30" t="n">
        <x:v>46118</x:v>
      </x:c>
      <x:c r="AQ24" t="n">
        <x:v>0</x:v>
      </x:c>
      <x:c r="AR24" t="n">
        <x:v>0</x:v>
      </x:c>
      <x:c r="AS24" t="n">
        <x:v>0</x:v>
      </x:c>
      <x:c r="AT24" t="n">
        <x:v>6</x:v>
      </x:c>
      <x:c r="AU24" t="n">
        <x:v>6</x:v>
      </x:c>
      <x:c r="AV24" t="n">
        <x:v>6</x:v>
      </x:c>
      <x:c r="AW24" t="n">
        <x:v>6</x:v>
      </x:c>
      <x:c r="AX24" t="n">
        <x:v>630</x:v>
      </x:c>
      <x:c r="AY24"/>
      <x:c r="AZ24" t="str">
        <x:v>Jan-Jun 2026 v26.01.26.06</x:v>
      </x:c>
    </x:row>
    <x:row r="25">
      <x:c r="A25" s="18" t="str">
        <x:v>Joint US-Israel</x:v>
      </x:c>
      <x:c r="B25" s="18" t="str">
        <x:v>Iran’s top university bombed as US, Israel intensify attacks</x:v>
      </x:c>
      <x:c r="C25" t="n">
        <x:v>629308</x:v>
      </x:c>
      <x:c r="D25" t="str">
        <x:v>IRN-2026-1-18868-90</x:v>
      </x:c>
      <x:c r="E25" t="n">
        <x:v>2026</x:v>
      </x:c>
      <x:c r="F25" t="str">
        <x:v>true</x:v>
      </x:c>
      <x:c r="G25" t="str">
        <x:v>Clear</x:v>
      </x:c>
      <x:c r="H25" t="n">
        <x:v>1</x:v>
      </x:c>
      <x:c r="I25"/>
      <x:c r="J25" t="n">
        <x:v>16905</x:v>
      </x:c>
      <x:c r="K25" t="str">
        <x:v>Iran - Israel, United States of America</x:v>
      </x:c>
      <x:c r="L25" t="n">
        <x:v>18868</x:v>
      </x:c>
      <x:c r="M25" t="n">
        <x:v>18868</x:v>
      </x:c>
      <x:c r="N25" t="str">
        <x:v>Government of Iran - Government of Israel, Government of United States of America</x:v>
      </x:c>
      <x:c r="O25" t="n">
        <x:v>114</x:v>
      </x:c>
      <x:c r="P25" t="n">
        <x:v>114</x:v>
      </x:c>
      <x:c r="Q25" t="str">
        <x:v>Government of Iran</x:v>
      </x:c>
      <x:c r="R25" t="n">
        <x:v>9865</x:v>
      </x:c>
      <x:c r="S25" t="n">
        <x:v>9865</x:v>
      </x:c>
      <x:c r="T25" t="str">
        <x:v>Government of Israel, Government of United States of America</x:v>
      </x:c>
      <x:c r="U25" t="n">
        <x:v>1</x:v>
      </x:c>
      <x:c r="V25" t="str">
        <x:v>"Al Jazeera English,2026-04-06,Iran’s top university bombed as US, Israel intensify attacks; 34 killed"</x:v>
      </x:c>
      <x:c r="W25" t="str">
        <x:v>Al Jazeera English</x:v>
      </x:c>
      <x:c r="X25" t="str">
        <x:v>2026-04-06</x:v>
      </x:c>
      <x:c r="Y25" t="str">
        <x:v>Iran’s top university bombed as US, Israel intensify attacks; 34 killed</x:v>
      </x:c>
      <x:c r="Z25" t="str">
        <x:v>political and security deputy of the governor, Morteza Heydari</x:v>
      </x:c>
      <x:c r="AA25" t="n">
        <x:v>1</x:v>
      </x:c>
      <x:c r="AB25" t="str">
        <x:v>Qom town</x:v>
      </x:c>
      <x:c r="AC25" t="str">
        <x:v>city of Qom</x:v>
      </x:c>
      <x:c r="AD25" t="str">
        <x:v>Qom province</x:v>
      </x:c>
      <x:c r="AE25" t="str">
        <x:v>Qom county</x:v>
      </x:c>
      <x:c r="AF25" t="n">
        <x:v>34.6401</x:v>
      </x:c>
      <x:c r="AG25" t="n">
        <x:v>50.8764</x:v>
      </x:c>
      <x:c r="AH25" t="str">
        <x:v>POINT (50.8764 34.6401)</x:v>
      </x:c>
      <x:c r="AI25" t="n">
        <x:v>179742</x:v>
      </x:c>
      <x:c r="AJ25" t="str">
        <x:v>Iran</x:v>
      </x:c>
      <x:c r="AK25" t="n">
        <x:v>630</x:v>
      </x:c>
      <x:c r="AL25" t="str">
        <x:v>Middle East</x:v>
      </x:c>
      <x:c r="AM25" t="n">
        <x:v>1</x:v>
      </x:c>
      <x:c r="AN25" t="n">
        <x:v>1</x:v>
      </x:c>
      <x:c r="AO25" s="30" t="n">
        <x:v>46118</x:v>
      </x:c>
      <x:c r="AP25" s="30" t="n">
        <x:v>46118</x:v>
      </x:c>
      <x:c r="AQ25" t="n">
        <x:v>0</x:v>
      </x:c>
      <x:c r="AR25" t="n">
        <x:v>0</x:v>
      </x:c>
      <x:c r="AS25" t="n">
        <x:v>0</x:v>
      </x:c>
      <x:c r="AT25" t="n">
        <x:v>5</x:v>
      </x:c>
      <x:c r="AU25" t="n">
        <x:v>5</x:v>
      </x:c>
      <x:c r="AV25" t="n">
        <x:v>5</x:v>
      </x:c>
      <x:c r="AW25" t="n">
        <x:v>5</x:v>
      </x:c>
      <x:c r="AX25" t="n">
        <x:v>630</x:v>
      </x:c>
      <x:c r="AY25"/>
      <x:c r="AZ25" t="str">
        <x:v>Jan-Jun 2026 v26.01.26.06</x:v>
      </x:c>
    </x:row>
    <x:row r="26">
      <x:c r="A26" s="18" t="str">
        <x:v>Joint US-Israel</x:v>
      </x:c>
      <x:c r="B26" s="18" t="str">
        <x:v>1st LD: 2 killed, 3 wounded in U.S.-Israeli attack on railway bridge in C. Iran</x:v>
      </x:c>
      <x:c r="C26" t="n">
        <x:v>629311</x:v>
      </x:c>
      <x:c r="D26" t="str">
        <x:v>IRN-2026-1-18868-94</x:v>
      </x:c>
      <x:c r="E26" t="n">
        <x:v>2026</x:v>
      </x:c>
      <x:c r="F26" t="str">
        <x:v>true</x:v>
      </x:c>
      <x:c r="G26" t="str">
        <x:v>Check geography</x:v>
      </x:c>
      <x:c r="H26" t="n">
        <x:v>1</x:v>
      </x:c>
      <x:c r="I26"/>
      <x:c r="J26" t="n">
        <x:v>16905</x:v>
      </x:c>
      <x:c r="K26" t="str">
        <x:v>Iran - Israel, United States of America</x:v>
      </x:c>
      <x:c r="L26" t="n">
        <x:v>18868</x:v>
      </x:c>
      <x:c r="M26" t="n">
        <x:v>18868</x:v>
      </x:c>
      <x:c r="N26" t="str">
        <x:v>Government of Iran - Government of Israel, Government of United States of America</x:v>
      </x:c>
      <x:c r="O26" t="n">
        <x:v>114</x:v>
      </x:c>
      <x:c r="P26" t="n">
        <x:v>114</x:v>
      </x:c>
      <x:c r="Q26" t="str">
        <x:v>Government of Iran</x:v>
      </x:c>
      <x:c r="R26" t="n">
        <x:v>9865</x:v>
      </x:c>
      <x:c r="S26" t="n">
        <x:v>9865</x:v>
      </x:c>
      <x:c r="T26" t="str">
        <x:v>Government of Israel, Government of United States of America</x:v>
      </x:c>
      <x:c r="U26" t="n">
        <x:v>2</x:v>
      </x:c>
      <x:c r="V26" t="str">
        <x:v>"Agence France Presse,2026-04-07,Two dead in attack on rail bridge in central Iran: regional official";"Xinhua News Agency,2026-04-07,1st LD: 2 killed, 3 wounded in U.S.-Israeli attack on railway bridge in C. Iran"</x:v>
      </x:c>
      <x:c r="W26" t="str">
        <x:v>Agence France Presse;Xinhua News Agency</x:v>
      </x:c>
      <x:c r="X26" t="str">
        <x:v>2026-04-07;2026-04-07</x:v>
      </x:c>
      <x:c r="Y26" t="str">
        <x:v>Two dead in attack on rail bridge in central Iran: regional official;1st LD: 2 killed, 3 wounded in U.S.-Israeli attack on railway bridge in C. Iran</x:v>
      </x:c>
      <x:c r="Z26" t="str">
        <x:v>senior regional security official in Isfahan province</x:v>
      </x:c>
      <x:c r="AA26" t="n">
        <x:v>1</x:v>
      </x:c>
      <x:c r="AB26" t="str">
        <x:v>Kashan town</x:v>
      </x:c>
      <x:c r="AC26" t="str">
        <x:v>city of Kashan</x:v>
      </x:c>
      <x:c r="AD26" t="str">
        <x:v>Esfahan province</x:v>
      </x:c>
      <x:c r="AE26" t="str">
        <x:v>Kashan county</x:v>
      </x:c>
      <x:c r="AF26" t="n">
        <x:v>33.98237</x:v>
      </x:c>
      <x:c r="AG26" t="n">
        <x:v>51.42769</x:v>
      </x:c>
      <x:c r="AH26" t="str">
        <x:v>POINT (51.42769 33.98237)</x:v>
      </x:c>
      <x:c r="AI26" t="n">
        <x:v>178303</x:v>
      </x:c>
      <x:c r="AJ26" t="str">
        <x:v>Iran</x:v>
      </x:c>
      <x:c r="AK26" t="n">
        <x:v>630</x:v>
      </x:c>
      <x:c r="AL26" t="str">
        <x:v>Middle East</x:v>
      </x:c>
      <x:c r="AM26" t="n">
        <x:v>1</x:v>
      </x:c>
      <x:c r="AN26" t="n">
        <x:v>1</x:v>
      </x:c>
      <x:c r="AO26" s="30" t="n">
        <x:v>46119</x:v>
      </x:c>
      <x:c r="AP26" s="30" t="n">
        <x:v>46119</x:v>
      </x:c>
      <x:c r="AQ26" t="n">
        <x:v>0</x:v>
      </x:c>
      <x:c r="AR26" t="n">
        <x:v>0</x:v>
      </x:c>
      <x:c r="AS26" t="n">
        <x:v>0</x:v>
      </x:c>
      <x:c r="AT26" t="n">
        <x:v>2</x:v>
      </x:c>
      <x:c r="AU26" t="n">
        <x:v>2</x:v>
      </x:c>
      <x:c r="AV26" t="n">
        <x:v>2</x:v>
      </x:c>
      <x:c r="AW26" t="n">
        <x:v>2</x:v>
      </x:c>
      <x:c r="AX26" t="n">
        <x:v>630</x:v>
      </x:c>
      <x:c r="AY26"/>
      <x:c r="AZ26" t="str">
        <x:v>Jan-Jun 2026 v26.01.26.06</x:v>
      </x:c>
    </x:row>
    <x:row r="27">
      <x:c r="A27" s="18" t="str">
        <x:v>Joint US-Israel</x:v>
      </x:c>
      <x:c r="B27" s="18" t="str">
        <x:v>Synagogue in Tehran ‘completely destroyed’ in US-Israeli attack</x:v>
      </x:c>
      <x:c r="C27" t="n">
        <x:v>629312</x:v>
      </x:c>
      <x:c r="D27" t="str">
        <x:v>IRN-2026-1-18868-97</x:v>
      </x:c>
      <x:c r="E27" t="n">
        <x:v>2026</x:v>
      </x:c>
      <x:c r="F27" t="str">
        <x:v>true</x:v>
      </x:c>
      <x:c r="G27" t="str">
        <x:v>Clear</x:v>
      </x:c>
      <x:c r="H27" t="n">
        <x:v>1</x:v>
      </x:c>
      <x:c r="I27"/>
      <x:c r="J27" t="n">
        <x:v>16905</x:v>
      </x:c>
      <x:c r="K27" t="str">
        <x:v>Iran - Israel, United States of America</x:v>
      </x:c>
      <x:c r="L27" t="n">
        <x:v>18868</x:v>
      </x:c>
      <x:c r="M27" t="n">
        <x:v>18868</x:v>
      </x:c>
      <x:c r="N27" t="str">
        <x:v>Government of Iran - Government of Israel, Government of United States of America</x:v>
      </x:c>
      <x:c r="O27" t="n">
        <x:v>114</x:v>
      </x:c>
      <x:c r="P27" t="n">
        <x:v>114</x:v>
      </x:c>
      <x:c r="Q27" t="str">
        <x:v>Government of Iran</x:v>
      </x:c>
      <x:c r="R27" t="n">
        <x:v>9865</x:v>
      </x:c>
      <x:c r="S27" t="n">
        <x:v>9865</x:v>
      </x:c>
      <x:c r="T27" t="str">
        <x:v>Government of Israel, Government of United States of America</x:v>
      </x:c>
      <x:c r="U27" t="n">
        <x:v>1</x:v>
      </x:c>
      <x:c r="V27" t="str">
        <x:v>"Al Jazeera English,2026-04-07,Synagogue in Tehran ‘completely destroyed’ in US-Israeli attack"</x:v>
      </x:c>
      <x:c r="W27" t="str">
        <x:v>Al Jazeera English</x:v>
      </x:c>
      <x:c r="X27" t="str">
        <x:v>2026-04-07</x:v>
      </x:c>
      <x:c r="Y27" t="str">
        <x:v>Synagogue in Tehran ‘completely destroyed’ in US-Israeli attack</x:v>
      </x:c>
      <x:c r="Z27" t="str">
        <x:v>local media</x:v>
      </x:c>
      <x:c r="AA27" t="n">
        <x:v>1</x:v>
      </x:c>
      <x:c r="AB27" t="str">
        <x:v>Pardis town</x:v>
      </x:c>
      <x:c r="AC27" t="str">
        <x:v>city of Pardis, east of Tehran</x:v>
      </x:c>
      <x:c r="AD27" t="str">
        <x:v>Tehran province</x:v>
      </x:c>
      <x:c r="AE27" t="str">
        <x:v>Pardis county</x:v>
      </x:c>
      <x:c r="AF27" t="n">
        <x:v>35.74687</x:v>
      </x:c>
      <x:c r="AG27" t="n">
        <x:v>51.81222</x:v>
      </x:c>
      <x:c r="AH27" t="str">
        <x:v>POINT (51.81222 35.74687)</x:v>
      </x:c>
      <x:c r="AI27" t="n">
        <x:v>181184</x:v>
      </x:c>
      <x:c r="AJ27" t="str">
        <x:v>Iran</x:v>
      </x:c>
      <x:c r="AK27" t="n">
        <x:v>630</x:v>
      </x:c>
      <x:c r="AL27" t="str">
        <x:v>Middle East</x:v>
      </x:c>
      <x:c r="AM27" t="n">
        <x:v>1</x:v>
      </x:c>
      <x:c r="AN27" t="n">
        <x:v>2</x:v>
      </x:c>
      <x:c r="AO27" s="30" t="n">
        <x:v>46119</x:v>
      </x:c>
      <x:c r="AP27" s="30" t="n">
        <x:v>46120</x:v>
      </x:c>
      <x:c r="AQ27" t="n">
        <x:v>0</x:v>
      </x:c>
      <x:c r="AR27" t="n">
        <x:v>0</x:v>
      </x:c>
      <x:c r="AS27" t="n">
        <x:v>0</x:v>
      </x:c>
      <x:c r="AT27" t="n">
        <x:v>6</x:v>
      </x:c>
      <x:c r="AU27" t="n">
        <x:v>6</x:v>
      </x:c>
      <x:c r="AV27" t="n">
        <x:v>6</x:v>
      </x:c>
      <x:c r="AW27" t="n">
        <x:v>6</x:v>
      </x:c>
      <x:c r="AX27" t="n">
        <x:v>630</x:v>
      </x:c>
      <x:c r="AY27"/>
      <x:c r="AZ27" t="str">
        <x:v>Jan-Jun 2026 v26.01.26.06</x:v>
      </x:c>
    </x:row>
    <x:row r="28">
      <x:c r="A28" s="18" t="str">
        <x:v>Joint US-Israel</x:v>
      </x:c>
      <x:c r="B28" s="18" t="str">
        <x:v>Synagogue in Tehran ‘completely destroyed’ in US-Israeli attack</x:v>
      </x:c>
      <x:c r="C28" t="n">
        <x:v>629313</x:v>
      </x:c>
      <x:c r="D28" t="str">
        <x:v>IRN-2026-1-18868-96</x:v>
      </x:c>
      <x:c r="E28" t="n">
        <x:v>2026</x:v>
      </x:c>
      <x:c r="F28" t="str">
        <x:v>true</x:v>
      </x:c>
      <x:c r="G28" t="str">
        <x:v>Clear</x:v>
      </x:c>
      <x:c r="H28" t="n">
        <x:v>1</x:v>
      </x:c>
      <x:c r="I28"/>
      <x:c r="J28" t="n">
        <x:v>16905</x:v>
      </x:c>
      <x:c r="K28" t="str">
        <x:v>Iran - Israel, United States of America</x:v>
      </x:c>
      <x:c r="L28" t="n">
        <x:v>18868</x:v>
      </x:c>
      <x:c r="M28" t="n">
        <x:v>18868</x:v>
      </x:c>
      <x:c r="N28" t="str">
        <x:v>Government of Iran - Government of Israel, Government of United States of America</x:v>
      </x:c>
      <x:c r="O28" t="n">
        <x:v>114</x:v>
      </x:c>
      <x:c r="P28" t="n">
        <x:v>114</x:v>
      </x:c>
      <x:c r="Q28" t="str">
        <x:v>Government of Iran</x:v>
      </x:c>
      <x:c r="R28" t="n">
        <x:v>9865</x:v>
      </x:c>
      <x:c r="S28" t="n">
        <x:v>9865</x:v>
      </x:c>
      <x:c r="T28" t="str">
        <x:v>Government of Israel, Government of United States of America</x:v>
      </x:c>
      <x:c r="U28" t="n">
        <x:v>1</x:v>
      </x:c>
      <x:c r="V28" t="str">
        <x:v>"Al Jazeera English,2026-04-07,Synagogue in Tehran ‘completely destroyed’ in US-Israeli attack"</x:v>
      </x:c>
      <x:c r="W28" t="str">
        <x:v>Al Jazeera English</x:v>
      </x:c>
      <x:c r="X28" t="str">
        <x:v>2026-04-07</x:v>
      </x:c>
      <x:c r="Y28" t="str">
        <x:v>Synagogue in Tehran ‘completely destroyed’ in US-Israeli attack</x:v>
      </x:c>
      <x:c r="Z28" t="str">
        <x:v>local media</x:v>
      </x:c>
      <x:c r="AA28" t="n">
        <x:v>1</x:v>
      </x:c>
      <x:c r="AB28" t="str">
        <x:v>Shahriar town</x:v>
      </x:c>
      <x:c r="AC28" t="str">
        <x:v>residential neighbourhood in the city of Shahriar</x:v>
      </x:c>
      <x:c r="AD28" t="str">
        <x:v>Tehran province</x:v>
      </x:c>
      <x:c r="AE28" t="str">
        <x:v>Shahriar county</x:v>
      </x:c>
      <x:c r="AF28" t="n">
        <x:v>35.65884</x:v>
      </x:c>
      <x:c r="AG28" t="n">
        <x:v>51.05775</x:v>
      </x:c>
      <x:c r="AH28" t="str">
        <x:v>POINT (51.05775 35.65884)</x:v>
      </x:c>
      <x:c r="AI28" t="n">
        <x:v>181183</x:v>
      </x:c>
      <x:c r="AJ28" t="str">
        <x:v>Iran</x:v>
      </x:c>
      <x:c r="AK28" t="n">
        <x:v>630</x:v>
      </x:c>
      <x:c r="AL28" t="str">
        <x:v>Middle East</x:v>
      </x:c>
      <x:c r="AM28" t="n">
        <x:v>1</x:v>
      </x:c>
      <x:c r="AN28" t="n">
        <x:v>2</x:v>
      </x:c>
      <x:c r="AO28" s="30" t="n">
        <x:v>46119</x:v>
      </x:c>
      <x:c r="AP28" s="30" t="n">
        <x:v>46120</x:v>
      </x:c>
      <x:c r="AQ28" t="n">
        <x:v>0</x:v>
      </x:c>
      <x:c r="AR28" t="n">
        <x:v>0</x:v>
      </x:c>
      <x:c r="AS28" t="n">
        <x:v>0</x:v>
      </x:c>
      <x:c r="AT28" t="n">
        <x:v>9</x:v>
      </x:c>
      <x:c r="AU28" t="n">
        <x:v>9</x:v>
      </x:c>
      <x:c r="AV28" t="n">
        <x:v>9</x:v>
      </x:c>
      <x:c r="AW28" t="n">
        <x:v>9</x:v>
      </x:c>
      <x:c r="AX28" t="n">
        <x:v>630</x:v>
      </x:c>
      <x:c r="AY28"/>
      <x:c r="AZ28" t="str">
        <x:v>Jan-Jun 2026 v26.01.26.06</x:v>
      </x:c>
    </x:row>
    <x:row r="29">
      <x:c r="A29" s="18" t="str">
        <x:v>US</x:v>
      </x:c>
      <x:c r="B29" s="18" t="str">
        <x:v>Iran says US military killed five civilians in attacks on passenger boats</x:v>
      </x:c>
      <x:c r="C29" t="n">
        <x:v>629402</x:v>
      </x:c>
      <x:c r="D29" t="str">
        <x:v>IRN-2026-1-18868-102</x:v>
      </x:c>
      <x:c r="E29" t="n">
        <x:v>2026</x:v>
      </x:c>
      <x:c r="F29" t="str">
        <x:v>true</x:v>
      </x:c>
      <x:c r="G29" t="str">
        <x:v>Check geography</x:v>
      </x:c>
      <x:c r="H29" t="n">
        <x:v>1</x:v>
      </x:c>
      <x:c r="I29"/>
      <x:c r="J29" t="n">
        <x:v>16905</x:v>
      </x:c>
      <x:c r="K29" t="str">
        <x:v>Iran - Israel, United States of America</x:v>
      </x:c>
      <x:c r="L29" t="n">
        <x:v>18868</x:v>
      </x:c>
      <x:c r="M29" t="n">
        <x:v>18868</x:v>
      </x:c>
      <x:c r="N29" t="str">
        <x:v>Government of Iran - Government of Israel, Government of United States of America</x:v>
      </x:c>
      <x:c r="O29" t="n">
        <x:v>114</x:v>
      </x:c>
      <x:c r="P29" t="n">
        <x:v>114</x:v>
      </x:c>
      <x:c r="Q29" t="str">
        <x:v>Government of Iran</x:v>
      </x:c>
      <x:c r="R29" t="n">
        <x:v>9865</x:v>
      </x:c>
      <x:c r="S29" t="n">
        <x:v>9865</x:v>
      </x:c>
      <x:c r="T29" t="str">
        <x:v>Government of Israel, Government of United States of America</x:v>
      </x:c>
      <x:c r="U29" t="n">
        <x:v>2</x:v>
      </x:c>
      <x:c r="V29" t="str">
        <x:v>"Al Jazeera English,2026-05-05,Iran says US military killed five civilians in attacks on passenger boats";"BBC Monitoring News Alert,2026-05-05,Iran says US targeted civilian, not IRGC, boats, killing five people
CR 
Source: Fars News Agency, Tehran, in Persian 0603 GMT 5 May 26"</x:v>
      </x:c>
      <x:c r="W29" t="str">
        <x:v>Al Jazeera English;BBC Monitoring News Alert</x:v>
      </x:c>
      <x:c r="X29" t="str">
        <x:v>2026-05-05;2026-05-05</x:v>
      </x:c>
      <x:c r="Y29" t="str">
        <x:v>Iran says US military killed five civilians in attacks on passenger boats;Iran says US targeted civilian, not IRGC, boats, killing five people
CR 
Source: Fars News Agency, Tehran, in Persian 0603 GMT 5 May 26</x:v>
      </x:c>
      <x:c r="Z29" t="str">
        <x:v>IRGC commander, US Admiral Brad Cooper, unnamed military source</x:v>
      </x:c>
      <x:c r="AA29" t="n">
        <x:v>6</x:v>
      </x:c>
      <x:c r="AB29" t="str">
        <x:v>Iran</x:v>
      </x:c>
      <x:c r="AC29" t="str">
        <x:v>Strait of Hormuz, travelling from the Omani port of Khasab towards Iran's coast</x:v>
      </x:c>
      <x:c r="AD29"/>
      <x:c r="AE29"/>
      <x:c r="AF29" t="n">
        <x:v>32</x:v>
      </x:c>
      <x:c r="AG29" t="n">
        <x:v>53</x:v>
      </x:c>
      <x:c r="AH29" t="str">
        <x:v>POINT (53 32)</x:v>
      </x:c>
      <x:c r="AI29" t="n">
        <x:v>176147</x:v>
      </x:c>
      <x:c r="AJ29" t="str">
        <x:v>Iran</x:v>
      </x:c>
      <x:c r="AK29" t="n">
        <x:v>630</x:v>
      </x:c>
      <x:c r="AL29" t="str">
        <x:v>Middle East</x:v>
      </x:c>
      <x:c r="AM29" t="n">
        <x:v>1</x:v>
      </x:c>
      <x:c r="AN29" t="n">
        <x:v>1</x:v>
      </x:c>
      <x:c r="AO29" s="30" t="n">
        <x:v>46146</x:v>
      </x:c>
      <x:c r="AP29" s="30" t="n">
        <x:v>46146</x:v>
      </x:c>
      <x:c r="AQ29" t="n">
        <x:v>0</x:v>
      </x:c>
      <x:c r="AR29" t="n">
        <x:v>0</x:v>
      </x:c>
      <x:c r="AS29" t="n">
        <x:v>5</x:v>
      </x:c>
      <x:c r="AT29" t="n">
        <x:v>0</x:v>
      </x:c>
      <x:c r="AU29" t="n">
        <x:v>5</x:v>
      </x:c>
      <x:c r="AV29" t="n">
        <x:v>5</x:v>
      </x:c>
      <x:c r="AW29" t="n">
        <x:v>5</x:v>
      </x:c>
      <x:c r="AX29" t="n">
        <x:v>630</x:v>
      </x:c>
      <x:c r="AY29"/>
      <x:c r="AZ29" t="str">
        <x:v>Jan-Jun 2026 v26.01.26.06</x:v>
      </x:c>
    </x:row>
    <x:row r="30">
      <x:c r="A30" s="18" t="str">
        <x:v>US</x:v>
      </x:c>
      <x:c r="B30" s="18" t="str">
        <x:v>Iran says US attacks over three weeks killed 50, injured more than 500</x:v>
      </x:c>
      <x:c r="C30" t="n">
        <x:v>637547</x:v>
      </x:c>
      <x:c r="D30" t="str">
        <x:v>IRN-2026-1-18868-129</x:v>
      </x:c>
      <x:c r="E30" t="n">
        <x:v>2026</x:v>
      </x:c>
      <x:c r="F30" t="str">
        <x:v>true</x:v>
      </x:c>
      <x:c r="G30" t="str">
        <x:v>Check deaths</x:v>
      </x:c>
      <x:c r="H30" t="n">
        <x:v>1</x:v>
      </x:c>
      <x:c r="I30"/>
      <x:c r="J30" t="n">
        <x:v>16905</x:v>
      </x:c>
      <x:c r="K30" t="str">
        <x:v>Iran - Israel, United States of America</x:v>
      </x:c>
      <x:c r="L30" t="n">
        <x:v>18868</x:v>
      </x:c>
      <x:c r="M30" t="n">
        <x:v>18868</x:v>
      </x:c>
      <x:c r="N30" t="str">
        <x:v>Government of Iran - Government of Israel, Government of United States of America</x:v>
      </x:c>
      <x:c r="O30" t="n">
        <x:v>114</x:v>
      </x:c>
      <x:c r="P30" t="n">
        <x:v>114</x:v>
      </x:c>
      <x:c r="Q30" t="str">
        <x:v>Government of Iran</x:v>
      </x:c>
      <x:c r="R30" t="n">
        <x:v>9865</x:v>
      </x:c>
      <x:c r="S30" t="n">
        <x:v>9865</x:v>
      </x:c>
      <x:c r="T30" t="str">
        <x:v>Government of Israel, Government of United States of America</x:v>
      </x:c>
      <x:c r="U30" t="n">
        <x:v>1</x:v>
      </x:c>
      <x:c r="V30" t="str">
        <x:v>"BBC Monitoring News Alert,2026-07-18,Iran says US attacks over three weeks killed 50, injured more than 500"</x:v>
      </x:c>
      <x:c r="W30" t="str">
        <x:v>BBC Monitoring News Alert</x:v>
      </x:c>
      <x:c r="X30" t="str">
        <x:v>2026-07-18</x:v>
      </x:c>
      <x:c r="Y30" t="str">
        <x:v>Iran says US attacks over three weeks killed 50, injured more than 500</x:v>
      </x:c>
      <x:c r="Z30" t="str">
        <x:v>Iran's Health Ministry</x:v>
      </x:c>
      <x:c r="AA30" t="n">
        <x:v>6</x:v>
      </x:c>
      <x:c r="AB30" t="str">
        <x:v>Iran</x:v>
      </x:c>
      <x:c r="AC30"/>
      <x:c r="AD30"/>
      <x:c r="AE30"/>
      <x:c r="AF30" t="n">
        <x:v>32</x:v>
      </x:c>
      <x:c r="AG30" t="n">
        <x:v>53</x:v>
      </x:c>
      <x:c r="AH30" t="str">
        <x:v>POINT (53 32)</x:v>
      </x:c>
      <x:c r="AI30" t="n">
        <x:v>176147</x:v>
      </x:c>
      <x:c r="AJ30" t="str">
        <x:v>Iran</x:v>
      </x:c>
      <x:c r="AK30" t="n">
        <x:v>630</x:v>
      </x:c>
      <x:c r="AL30" t="str">
        <x:v>Middle East</x:v>
      </x:c>
      <x:c r="AM30" t="n">
        <x:v>2</x:v>
      </x:c>
      <x:c r="AN30" t="n">
        <x:v>4</x:v>
      </x:c>
      <x:c r="AO30" s="30" t="n">
        <x:v>46200</x:v>
      </x:c>
      <x:c r="AP30" s="30" t="n">
        <x:v>46221</x:v>
      </x:c>
      <x:c r="AQ30" t="n">
        <x:v>0</x:v>
      </x:c>
      <x:c r="AR30" t="n">
        <x:v>0</x:v>
      </x:c>
      <x:c r="AS30" t="n">
        <x:v>3</x:v>
      </x:c>
      <x:c r="AT30" t="n">
        <x:v>0</x:v>
      </x:c>
      <x:c r="AU30" t="n">
        <x:v>3</x:v>
      </x:c>
      <x:c r="AV30" t="n">
        <x:v>3</x:v>
      </x:c>
      <x:c r="AW30" t="n">
        <x:v>3</x:v>
      </x:c>
      <x:c r="AX30" t="n">
        <x:v>630</x:v>
      </x:c>
      <x:c r="AY30"/>
      <x:c r="AZ30" t="str">
        <x:v>July 2026 v26.0.7</x:v>
      </x:c>
    </x:row>
    <x:row r="31">
      <x:c r="A31" s="18" t="str">
        <x:v>US</x:v>
      </x:c>
      <x:c r="B31" s="18" t="str">
        <x:v>Iran state media says member of Revolutionary Guards killed in US strikes</x:v>
      </x:c>
      <x:c r="C31" t="n">
        <x:v>637517</x:v>
      </x:c>
      <x:c r="D31" t="str">
        <x:v>IRN-2026-1-18868-114</x:v>
      </x:c>
      <x:c r="E31" t="n">
        <x:v>2026</x:v>
      </x:c>
      <x:c r="F31" t="str">
        <x:v>true</x:v>
      </x:c>
      <x:c r="G31" t="str">
        <x:v>Clear</x:v>
      </x:c>
      <x:c r="H31" t="n">
        <x:v>1</x:v>
      </x:c>
      <x:c r="I31"/>
      <x:c r="J31" t="n">
        <x:v>16905</x:v>
      </x:c>
      <x:c r="K31" t="str">
        <x:v>Iran - Israel, United States of America</x:v>
      </x:c>
      <x:c r="L31" t="n">
        <x:v>18868</x:v>
      </x:c>
      <x:c r="M31" t="n">
        <x:v>18868</x:v>
      </x:c>
      <x:c r="N31" t="str">
        <x:v>Government of Iran - Government of Israel, Government of United States of America</x:v>
      </x:c>
      <x:c r="O31" t="n">
        <x:v>114</x:v>
      </x:c>
      <x:c r="P31" t="n">
        <x:v>114</x:v>
      </x:c>
      <x:c r="Q31" t="str">
        <x:v>Government of Iran</x:v>
      </x:c>
      <x:c r="R31" t="n">
        <x:v>9865</x:v>
      </x:c>
      <x:c r="S31" t="n">
        <x:v>9865</x:v>
      </x:c>
      <x:c r="T31" t="str">
        <x:v>Government of Israel, Government of United States of America</x:v>
      </x:c>
      <x:c r="U31" t="n">
        <x:v>1</x:v>
      </x:c>
      <x:c r="V31" t="str">
        <x:v>"Agence France Presse,2026-07-08,Iran state media says member of Revolutionary Guards killed in US strikes"</x:v>
      </x:c>
      <x:c r="W31" t="str">
        <x:v>Agence France Presse</x:v>
      </x:c>
      <x:c r="X31" t="str">
        <x:v>2026-07-08</x:v>
      </x:c>
      <x:c r="Y31" t="str">
        <x:v>Iran state media says member of Revolutionary Guards killed in US strikes</x:v>
      </x:c>
      <x:c r="Z31" t="str">
        <x:v>IRGC, IRNA news agency</x:v>
      </x:c>
      <x:c r="AA31" t="n">
        <x:v>1</x:v>
      </x:c>
      <x:c r="AB31" t="str">
        <x:v>Bandar-e Mahshahr town</x:v>
      </x:c>
      <x:c r="AC31" t="str">
        <x:v>Mahshahr, a port city</x:v>
      </x:c>
      <x:c r="AD31" t="str">
        <x:v>Khuzestan province</x:v>
      </x:c>
      <x:c r="AE31" t="str">
        <x:v>Bandar-e Mahshahr county</x:v>
      </x:c>
      <x:c r="AF31" t="n">
        <x:v>30.5543</x:v>
      </x:c>
      <x:c r="AG31" t="n">
        <x:v>49.18589</x:v>
      </x:c>
      <x:c r="AH31" t="str">
        <x:v>POINT (49.18589 30.5543)</x:v>
      </x:c>
      <x:c r="AI31" t="n">
        <x:v>173979</x:v>
      </x:c>
      <x:c r="AJ31" t="str">
        <x:v>Iran</x:v>
      </x:c>
      <x:c r="AK31" t="n">
        <x:v>630</x:v>
      </x:c>
      <x:c r="AL31" t="str">
        <x:v>Middle East</x:v>
      </x:c>
      <x:c r="AM31" t="n">
        <x:v>1</x:v>
      </x:c>
      <x:c r="AN31" t="n">
        <x:v>1</x:v>
      </x:c>
      <x:c r="AO31" s="30" t="n">
        <x:v>46211</x:v>
      </x:c>
      <x:c r="AP31" s="30" t="n">
        <x:v>46211</x:v>
      </x:c>
      <x:c r="AQ31" t="n">
        <x:v>1</x:v>
      </x:c>
      <x:c r="AR31" t="n">
        <x:v>0</x:v>
      </x:c>
      <x:c r="AS31" t="n">
        <x:v>0</x:v>
      </x:c>
      <x:c r="AT31" t="n">
        <x:v>0</x:v>
      </x:c>
      <x:c r="AU31" t="n">
        <x:v>1</x:v>
      </x:c>
      <x:c r="AV31" t="n">
        <x:v>1</x:v>
      </x:c>
      <x:c r="AW31" t="n">
        <x:v>1</x:v>
      </x:c>
      <x:c r="AX31" t="n">
        <x:v>630</x:v>
      </x:c>
      <x:c r="AY31"/>
      <x:c r="AZ31" t="str">
        <x:v>July 2026 v26.0.7</x:v>
      </x:c>
    </x:row>
    <x:row r="32">
      <x:c r="A32" s="18" t="str">
        <x:v>US</x:v>
      </x:c>
      <x:c r="B32" s="18" t="str">
        <x:v>Eight Iran military personnel killed in US strikes: state media</x:v>
      </x:c>
      <x:c r="C32" t="n">
        <x:v>637518</x:v>
      </x:c>
      <x:c r="D32" t="str">
        <x:v>IRN-2026-1-18868-115</x:v>
      </x:c>
      <x:c r="E32" t="n">
        <x:v>2026</x:v>
      </x:c>
      <x:c r="F32" t="str">
        <x:v>true</x:v>
      </x:c>
      <x:c r="G32" t="str">
        <x:v>Clear</x:v>
      </x:c>
      <x:c r="H32" t="n">
        <x:v>1</x:v>
      </x:c>
      <x:c r="I32"/>
      <x:c r="J32" t="n">
        <x:v>16905</x:v>
      </x:c>
      <x:c r="K32" t="str">
        <x:v>Iran - Israel, United States of America</x:v>
      </x:c>
      <x:c r="L32" t="n">
        <x:v>18868</x:v>
      </x:c>
      <x:c r="M32" t="n">
        <x:v>18868</x:v>
      </x:c>
      <x:c r="N32" t="str">
        <x:v>Government of Iran - Government of Israel, Government of United States of America</x:v>
      </x:c>
      <x:c r="O32" t="n">
        <x:v>114</x:v>
      </x:c>
      <x:c r="P32" t="n">
        <x:v>114</x:v>
      </x:c>
      <x:c r="Q32" t="str">
        <x:v>Government of Iran</x:v>
      </x:c>
      <x:c r="R32" t="n">
        <x:v>9865</x:v>
      </x:c>
      <x:c r="S32" t="n">
        <x:v>9865</x:v>
      </x:c>
      <x:c r="T32" t="str">
        <x:v>Government of Israel, Government of United States of America</x:v>
      </x:c>
      <x:c r="U32" t="n">
        <x:v>1</x:v>
      </x:c>
      <x:c r="V32" t="str">
        <x:v>"Agence France Presse,2026-07-08,Eight Iran military personnel killed in US strikes: state media"</x:v>
      </x:c>
      <x:c r="W32" t="str">
        <x:v>Agence France Presse</x:v>
      </x:c>
      <x:c r="X32" t="str">
        <x:v>2026-07-08</x:v>
      </x:c>
      <x:c r="Y32" t="str">
        <x:v>Eight Iran military personnel killed in US strikes: state media</x:v>
      </x:c>
      <x:c r="Z32" t="str">
        <x:v>military, Iranian state TV</x:v>
      </x:c>
      <x:c r="AA32" t="n">
        <x:v>3</x:v>
      </x:c>
      <x:c r="AB32" t="str">
        <x:v>Bandar Abbas county</x:v>
      </x:c>
      <x:c r="AC32" t="str">
        <x:v>Bandar Abbas</x:v>
      </x:c>
      <x:c r="AD32" t="str">
        <x:v>Hormozgan province</x:v>
      </x:c>
      <x:c r="AE32" t="str">
        <x:v>Bandar Abbas county</x:v>
      </x:c>
      <x:c r="AF32" t="n">
        <x:v>27.55</x:v>
      </x:c>
      <x:c r="AG32" t="n">
        <x:v>56.28333</x:v>
      </x:c>
      <x:c r="AH32" t="str">
        <x:v>POINT (56.28333 27.55)</x:v>
      </x:c>
      <x:c r="AI32" t="n">
        <x:v>169673</x:v>
      </x:c>
      <x:c r="AJ32" t="str">
        <x:v>Iran</x:v>
      </x:c>
      <x:c r="AK32" t="n">
        <x:v>630</x:v>
      </x:c>
      <x:c r="AL32" t="str">
        <x:v>Middle East</x:v>
      </x:c>
      <x:c r="AM32" t="n">
        <x:v>1</x:v>
      </x:c>
      <x:c r="AN32" t="n">
        <x:v>1</x:v>
      </x:c>
      <x:c r="AO32" s="30" t="n">
        <x:v>46211</x:v>
      </x:c>
      <x:c r="AP32" s="30" t="n">
        <x:v>46211</x:v>
      </x:c>
      <x:c r="AQ32" t="n">
        <x:v>7</x:v>
      </x:c>
      <x:c r="AR32" t="n">
        <x:v>0</x:v>
      </x:c>
      <x:c r="AS32" t="n">
        <x:v>0</x:v>
      </x:c>
      <x:c r="AT32" t="n">
        <x:v>0</x:v>
      </x:c>
      <x:c r="AU32" t="n">
        <x:v>7</x:v>
      </x:c>
      <x:c r="AV32" t="n">
        <x:v>7</x:v>
      </x:c>
      <x:c r="AW32" t="n">
        <x:v>7</x:v>
      </x:c>
      <x:c r="AX32" t="n">
        <x:v>630</x:v>
      </x:c>
      <x:c r="AY32"/>
      <x:c r="AZ32" t="str">
        <x:v>July 2026 v26.0.7</x:v>
      </x:c>
    </x:row>
    <x:row r="33">
      <x:c r="A33" s="18" t="str">
        <x:v>US</x:v>
      </x:c>
      <x:c r="B33" s="18" t="str">
        <x:v>Iran army says eight members killed in latest US attack</x:v>
      </x:c>
      <x:c r="C33" t="n">
        <x:v>637519</x:v>
      </x:c>
      <x:c r="D33" t="str">
        <x:v>IRN-2026-1-18868-116</x:v>
      </x:c>
      <x:c r="E33" t="n">
        <x:v>2026</x:v>
      </x:c>
      <x:c r="F33" t="str">
        <x:v>true</x:v>
      </x:c>
      <x:c r="G33" t="str">
        <x:v>Clear</x:v>
      </x:c>
      <x:c r="H33" t="n">
        <x:v>1</x:v>
      </x:c>
      <x:c r="I33"/>
      <x:c r="J33" t="n">
        <x:v>16905</x:v>
      </x:c>
      <x:c r="K33" t="str">
        <x:v>Iran - Israel, United States of America</x:v>
      </x:c>
      <x:c r="L33" t="n">
        <x:v>18868</x:v>
      </x:c>
      <x:c r="M33" t="n">
        <x:v>18868</x:v>
      </x:c>
      <x:c r="N33" t="str">
        <x:v>Government of Iran - Government of Israel, Government of United States of America</x:v>
      </x:c>
      <x:c r="O33" t="n">
        <x:v>114</x:v>
      </x:c>
      <x:c r="P33" t="n">
        <x:v>114</x:v>
      </x:c>
      <x:c r="Q33" t="str">
        <x:v>Government of Iran</x:v>
      </x:c>
      <x:c r="R33" t="n">
        <x:v>9865</x:v>
      </x:c>
      <x:c r="S33" t="n">
        <x:v>9865</x:v>
      </x:c>
      <x:c r="T33" t="str">
        <x:v>Government of Israel, Government of United States of America</x:v>
      </x:c>
      <x:c r="U33" t="n">
        <x:v>1</x:v>
      </x:c>
      <x:c r="V33" t="str">
        <x:v>"BBC Monitoring News Alert,2026-07-08,Iran army says eight members killed in latest US attack"</x:v>
      </x:c>
      <x:c r="W33" t="str">
        <x:v>BBC Monitoring News Alert</x:v>
      </x:c>
      <x:c r="X33" t="str">
        <x:v>2026-07-08</x:v>
      </x:c>
      <x:c r="Y33" t="str">
        <x:v>Iran army says eight members killed in latest US attack</x:v>
      </x:c>
      <x:c r="Z33" t="str">
        <x:v>Iran's army</x:v>
      </x:c>
      <x:c r="AA33" t="n">
        <x:v>4</x:v>
      </x:c>
      <x:c r="AB33" t="str">
        <x:v>Bushehr province</x:v>
      </x:c>
      <x:c r="AC33" t="str">
        <x:v>Bushehr</x:v>
      </x:c>
      <x:c r="AD33" t="str">
        <x:v>Bushehr province</x:v>
      </x:c>
      <x:c r="AE33"/>
      <x:c r="AF33" t="n">
        <x:v>28.9184</x:v>
      </x:c>
      <x:c r="AG33" t="n">
        <x:v>50.8382</x:v>
      </x:c>
      <x:c r="AH33" t="str">
        <x:v>POINT (50.8382 28.9184)</x:v>
      </x:c>
      <x:c r="AI33" t="n">
        <x:v>171102</x:v>
      </x:c>
      <x:c r="AJ33" t="str">
        <x:v>Iran</x:v>
      </x:c>
      <x:c r="AK33" t="n">
        <x:v>630</x:v>
      </x:c>
      <x:c r="AL33" t="str">
        <x:v>Middle East</x:v>
      </x:c>
      <x:c r="AM33" t="n">
        <x:v>1</x:v>
      </x:c>
      <x:c r="AN33" t="n">
        <x:v>1</x:v>
      </x:c>
      <x:c r="AO33" s="30" t="n">
        <x:v>46211</x:v>
      </x:c>
      <x:c r="AP33" s="30" t="n">
        <x:v>46211</x:v>
      </x:c>
      <x:c r="AQ33" t="n">
        <x:v>1</x:v>
      </x:c>
      <x:c r="AR33" t="n">
        <x:v>0</x:v>
      </x:c>
      <x:c r="AS33" t="n">
        <x:v>0</x:v>
      </x:c>
      <x:c r="AT33" t="n">
        <x:v>0</x:v>
      </x:c>
      <x:c r="AU33" t="n">
        <x:v>1</x:v>
      </x:c>
      <x:c r="AV33" t="n">
        <x:v>1</x:v>
      </x:c>
      <x:c r="AW33" t="n">
        <x:v>1</x:v>
      </x:c>
      <x:c r="AX33" t="n">
        <x:v>630</x:v>
      </x:c>
      <x:c r="AY33"/>
      <x:c r="AZ33" t="str">
        <x:v>July 2026 v26.0.7</x:v>
      </x:c>
    </x:row>
    <x:row r="34">
      <x:c r="A34" s="18" t="str">
        <x:v>US</x:v>
      </x:c>
      <x:c r="B34" s="18" t="str">
        <x:v>Iran health ministry says 14 killed in two days of US strikes</x:v>
      </x:c>
      <x:c r="C34" t="n">
        <x:v>637521</x:v>
      </x:c>
      <x:c r="D34" t="str">
        <x:v>IRN-2026-1-18868-118</x:v>
      </x:c>
      <x:c r="E34" t="n">
        <x:v>2026</x:v>
      </x:c>
      <x:c r="F34" t="str">
        <x:v>true</x:v>
      </x:c>
      <x:c r="G34" t="str">
        <x:v>Check geography</x:v>
      </x:c>
      <x:c r="H34" t="n">
        <x:v>1</x:v>
      </x:c>
      <x:c r="I34"/>
      <x:c r="J34" t="n">
        <x:v>16905</x:v>
      </x:c>
      <x:c r="K34" t="str">
        <x:v>Iran - Israel, United States of America</x:v>
      </x:c>
      <x:c r="L34" t="n">
        <x:v>18868</x:v>
      </x:c>
      <x:c r="M34" t="n">
        <x:v>18868</x:v>
      </x:c>
      <x:c r="N34" t="str">
        <x:v>Government of Iran - Government of Israel, Government of United States of America</x:v>
      </x:c>
      <x:c r="O34" t="n">
        <x:v>114</x:v>
      </x:c>
      <x:c r="P34" t="n">
        <x:v>114</x:v>
      </x:c>
      <x:c r="Q34" t="str">
        <x:v>Government of Iran</x:v>
      </x:c>
      <x:c r="R34" t="n">
        <x:v>9865</x:v>
      </x:c>
      <x:c r="S34" t="n">
        <x:v>9865</x:v>
      </x:c>
      <x:c r="T34" t="str">
        <x:v>Government of Israel, Government of United States of America</x:v>
      </x:c>
      <x:c r="U34" t="n">
        <x:v>1</x:v>
      </x:c>
      <x:c r="V34" t="str">
        <x:v>"Agence France Presse,2026-07-09,Iran health ministry says 14 killed in two days of US strikes"</x:v>
      </x:c>
      <x:c r="W34" t="str">
        <x:v>Agence France Presse</x:v>
      </x:c>
      <x:c r="X34" t="str">
        <x:v>2026-07-09</x:v>
      </x:c>
      <x:c r="Y34" t="str">
        <x:v>Iran health ministry says 14 killed in two days of US strikes</x:v>
      </x:c>
      <x:c r="Z34" t="str">
        <x:v>health ministry</x:v>
      </x:c>
      <x:c r="AA34" t="n">
        <x:v>6</x:v>
      </x:c>
      <x:c r="AB34" t="str">
        <x:v>Iran</x:v>
      </x:c>
      <x:c r="AC34"/>
      <x:c r="AD34"/>
      <x:c r="AE34"/>
      <x:c r="AF34" t="n">
        <x:v>32</x:v>
      </x:c>
      <x:c r="AG34" t="n">
        <x:v>53</x:v>
      </x:c>
      <x:c r="AH34" t="str">
        <x:v>POINT (53 32)</x:v>
      </x:c>
      <x:c r="AI34" t="n">
        <x:v>176147</x:v>
      </x:c>
      <x:c r="AJ34" t="str">
        <x:v>Iran</x:v>
      </x:c>
      <x:c r="AK34" t="n">
        <x:v>630</x:v>
      </x:c>
      <x:c r="AL34" t="str">
        <x:v>Middle East</x:v>
      </x:c>
      <x:c r="AM34" t="n">
        <x:v>1</x:v>
      </x:c>
      <x:c r="AN34" t="n">
        <x:v>2</x:v>
      </x:c>
      <x:c r="AO34" s="30" t="n">
        <x:v>46211</x:v>
      </x:c>
      <x:c r="AP34" s="30" t="n">
        <x:v>46212</x:v>
      </x:c>
      <x:c r="AQ34" t="n">
        <x:v>0</x:v>
      </x:c>
      <x:c r="AR34" t="n">
        <x:v>0</x:v>
      </x:c>
      <x:c r="AS34" t="n">
        <x:v>0</x:v>
      </x:c>
      <x:c r="AT34" t="n">
        <x:v>2</x:v>
      </x:c>
      <x:c r="AU34" t="n">
        <x:v>2</x:v>
      </x:c>
      <x:c r="AV34" t="n">
        <x:v>2</x:v>
      </x:c>
      <x:c r="AW34" t="n">
        <x:v>2</x:v>
      </x:c>
      <x:c r="AX34" t="n">
        <x:v>630</x:v>
      </x:c>
      <x:c r="AY34"/>
      <x:c r="AZ34" t="str">
        <x:v>July 2026 v26.0.7</x:v>
      </x:c>
    </x:row>
    <x:row r="35">
      <x:c r="A35" s="18" t="str">
        <x:v>US</x:v>
      </x:c>
      <x:c r="B35" s="18" t="str">
        <x:v>US strikes Iran, vows to reimpose naval blockade</x:v>
      </x:c>
      <x:c r="C35" t="n">
        <x:v>637534</x:v>
      </x:c>
      <x:c r="D35" t="str">
        <x:v>IRN-2026-1-18868-125</x:v>
      </x:c>
      <x:c r="E35" t="n">
        <x:v>2026</x:v>
      </x:c>
      <x:c r="F35" t="str">
        <x:v>true</x:v>
      </x:c>
      <x:c r="G35" t="str">
        <x:v>Clear</x:v>
      </x:c>
      <x:c r="H35" t="n">
        <x:v>1</x:v>
      </x:c>
      <x:c r="I35"/>
      <x:c r="J35" t="n">
        <x:v>16905</x:v>
      </x:c>
      <x:c r="K35" t="str">
        <x:v>Iran - Israel, United States of America</x:v>
      </x:c>
      <x:c r="L35" t="n">
        <x:v>18868</x:v>
      </x:c>
      <x:c r="M35" t="n">
        <x:v>18868</x:v>
      </x:c>
      <x:c r="N35" t="str">
        <x:v>Government of Iran - Government of Israel, Government of United States of America</x:v>
      </x:c>
      <x:c r="O35" t="n">
        <x:v>114</x:v>
      </x:c>
      <x:c r="P35" t="n">
        <x:v>114</x:v>
      </x:c>
      <x:c r="Q35" t="str">
        <x:v>Government of Iran</x:v>
      </x:c>
      <x:c r="R35" t="n">
        <x:v>9865</x:v>
      </x:c>
      <x:c r="S35" t="n">
        <x:v>9865</x:v>
      </x:c>
      <x:c r="T35" t="str">
        <x:v>Government of Israel, Government of United States of America</x:v>
      </x:c>
      <x:c r="U35" t="n">
        <x:v>2</x:v>
      </x:c>
      <x:c r="V35" t="str">
        <x:v>"Agence France Presse,2026-07-14,US strikes Iran, vows to reimpose naval blockade";"Associated Press Newswires,2026-07-15,More than 30 people killed in U.S. airstrikes targeting Iran in "recent days," Iranian
government spokesperson says"</x:v>
      </x:c>
      <x:c r="W35" t="str">
        <x:v>Agence France Presse;Associated Press Newswires</x:v>
      </x:c>
      <x:c r="X35" t="str">
        <x:v>2026-07-14;2026-07-15</x:v>
      </x:c>
      <x:c r="Y35" t="str">
        <x:v>US strikes Iran, vows to reimpose naval blockade;More than 30 people killed in U.S. airstrikes targeting Iran in "recent days," Iranian
government spokesperson says</x:v>
      </x:c>
      <x:c r="Z35" t="str">
        <x:v>Iranian media and official announcements, AFP, Iranian
government spokesperson</x:v>
      </x:c>
      <x:c r="AA35" t="n">
        <x:v>6</x:v>
      </x:c>
      <x:c r="AB35" t="str">
        <x:v>Iran</x:v>
      </x:c>
      <x:c r="AC35"/>
      <x:c r="AD35"/>
      <x:c r="AE35"/>
      <x:c r="AF35" t="n">
        <x:v>32</x:v>
      </x:c>
      <x:c r="AG35" t="n">
        <x:v>53</x:v>
      </x:c>
      <x:c r="AH35" t="str">
        <x:v>POINT (53 32)</x:v>
      </x:c>
      <x:c r="AI35" t="n">
        <x:v>176147</x:v>
      </x:c>
      <x:c r="AJ35" t="str">
        <x:v>Iran</x:v>
      </x:c>
      <x:c r="AK35" t="n">
        <x:v>630</x:v>
      </x:c>
      <x:c r="AL35" t="str">
        <x:v>Middle East</x:v>
      </x:c>
      <x:c r="AM35" t="n">
        <x:v>1</x:v>
      </x:c>
      <x:c r="AN35" t="n">
        <x:v>3</x:v>
      </x:c>
      <x:c r="AO35" s="30" t="n">
        <x:v>46211</x:v>
      </x:c>
      <x:c r="AP35" s="30" t="n">
        <x:v>46217</x:v>
      </x:c>
      <x:c r="AQ35" t="n">
        <x:v>0</x:v>
      </x:c>
      <x:c r="AR35" t="n">
        <x:v>0</x:v>
      </x:c>
      <x:c r="AS35" t="n">
        <x:v>0</x:v>
      </x:c>
      <x:c r="AT35" t="n">
        <x:v>6</x:v>
      </x:c>
      <x:c r="AU35" t="n">
        <x:v>6</x:v>
      </x:c>
      <x:c r="AV35" t="n">
        <x:v>6</x:v>
      </x:c>
      <x:c r="AW35" t="n">
        <x:v>6</x:v>
      </x:c>
      <x:c r="AX35" t="n">
        <x:v>630</x:v>
      </x:c>
      <x:c r="AY35"/>
      <x:c r="AZ35" t="str">
        <x:v>July 2026 v26.0.7</x:v>
      </x:c>
    </x:row>
    <x:row r="36">
      <x:c r="A36" s="18" t="str">
        <x:v>US</x:v>
      </x:c>
      <x:c r="B36" s="18" t="str">
        <x:v>US strikes kill three in western Iran: Iranian state media</x:v>
      </x:c>
      <x:c r="C36" t="n">
        <x:v>637520</x:v>
      </x:c>
      <x:c r="D36" t="str">
        <x:v>IRN-2026-1-18868-117</x:v>
      </x:c>
      <x:c r="E36" t="n">
        <x:v>2026</x:v>
      </x:c>
      <x:c r="F36" t="str">
        <x:v>true</x:v>
      </x:c>
      <x:c r="G36" t="str">
        <x:v>Clear</x:v>
      </x:c>
      <x:c r="H36" t="n">
        <x:v>1</x:v>
      </x:c>
      <x:c r="I36"/>
      <x:c r="J36" t="n">
        <x:v>16905</x:v>
      </x:c>
      <x:c r="K36" t="str">
        <x:v>Iran - Israel, United States of America</x:v>
      </x:c>
      <x:c r="L36" t="n">
        <x:v>18868</x:v>
      </x:c>
      <x:c r="M36" t="n">
        <x:v>18868</x:v>
      </x:c>
      <x:c r="N36" t="str">
        <x:v>Government of Iran - Government of Israel, Government of United States of America</x:v>
      </x:c>
      <x:c r="O36" t="n">
        <x:v>114</x:v>
      </x:c>
      <x:c r="P36" t="n">
        <x:v>114</x:v>
      </x:c>
      <x:c r="Q36" t="str">
        <x:v>Government of Iran</x:v>
      </x:c>
      <x:c r="R36" t="n">
        <x:v>9865</x:v>
      </x:c>
      <x:c r="S36" t="n">
        <x:v>9865</x:v>
      </x:c>
      <x:c r="T36" t="str">
        <x:v>Government of Israel, Government of United States of America</x:v>
      </x:c>
      <x:c r="U36" t="n">
        <x:v>1</x:v>
      </x:c>
      <x:c r="V36" t="str">
        <x:v>"Agence France Presse,2026-07-09,US strikes kill three in western Iran: Iranian state media"</x:v>
      </x:c>
      <x:c r="W36" t="str">
        <x:v>Agence France Presse</x:v>
      </x:c>
      <x:c r="X36" t="str">
        <x:v>2026-07-09</x:v>
      </x:c>
      <x:c r="Y36" t="str">
        <x:v>US strikes kill three in western Iran: Iranian state media</x:v>
      </x:c>
      <x:c r="Z36" t="str">
        <x:v>IRNA news agency, deputy governor of Khuzestan</x:v>
      </x:c>
      <x:c r="AA36" t="n">
        <x:v>2</x:v>
      </x:c>
      <x:c r="AB36" t="str">
        <x:v>Ahvaz town</x:v>
      </x:c>
      <x:c r="AC36" t="str">
        <x:v>outskirts of city of Ahvaz</x:v>
      </x:c>
      <x:c r="AD36" t="str">
        <x:v>Khuzestan province</x:v>
      </x:c>
      <x:c r="AE36" t="str">
        <x:v>Ahvaz county</x:v>
      </x:c>
      <x:c r="AF36" t="n">
        <x:v>31.320278</x:v>
      </x:c>
      <x:c r="AG36" t="n">
        <x:v>48.669167</x:v>
      </x:c>
      <x:c r="AH36" t="str">
        <x:v>POINT (48.669167 31.320278)</x:v>
      </x:c>
      <x:c r="AI36" t="n">
        <x:v>174698</x:v>
      </x:c>
      <x:c r="AJ36" t="str">
        <x:v>Iran</x:v>
      </x:c>
      <x:c r="AK36" t="n">
        <x:v>630</x:v>
      </x:c>
      <x:c r="AL36" t="str">
        <x:v>Middle East</x:v>
      </x:c>
      <x:c r="AM36" t="n">
        <x:v>1</x:v>
      </x:c>
      <x:c r="AN36" t="n">
        <x:v>1</x:v>
      </x:c>
      <x:c r="AO36" s="30" t="n">
        <x:v>46212</x:v>
      </x:c>
      <x:c r="AP36" s="30" t="n">
        <x:v>46212</x:v>
      </x:c>
      <x:c r="AQ36" t="n">
        <x:v>3</x:v>
      </x:c>
      <x:c r="AR36" t="n">
        <x:v>0</x:v>
      </x:c>
      <x:c r="AS36" t="n">
        <x:v>0</x:v>
      </x:c>
      <x:c r="AT36" t="n">
        <x:v>0</x:v>
      </x:c>
      <x:c r="AU36" t="n">
        <x:v>3</x:v>
      </x:c>
      <x:c r="AV36" t="n">
        <x:v>3</x:v>
      </x:c>
      <x:c r="AW36" t="n">
        <x:v>3</x:v>
      </x:c>
      <x:c r="AX36" t="n">
        <x:v>630</x:v>
      </x:c>
      <x:c r="AY36"/>
      <x:c r="AZ36" t="str">
        <x:v>July 2026 v26.0.7</x:v>
      </x:c>
    </x:row>
    <x:row r="37">
      <x:c r="A37" s="18" t="str">
        <x:v>US</x:v>
      </x:c>
      <x:c r="B37" s="18" t="str">
        <x:v>Overnight US strikes killed Iranian soldier: media</x:v>
      </x:c>
      <x:c r="C37" t="n">
        <x:v>637523</x:v>
      </x:c>
      <x:c r="D37" t="str">
        <x:v>IRN-2026-1-18868-119</x:v>
      </x:c>
      <x:c r="E37" t="n">
        <x:v>2026</x:v>
      </x:c>
      <x:c r="F37" t="str">
        <x:v>true</x:v>
      </x:c>
      <x:c r="G37" t="str">
        <x:v>Clear</x:v>
      </x:c>
      <x:c r="H37" t="n">
        <x:v>1</x:v>
      </x:c>
      <x:c r="I37"/>
      <x:c r="J37" t="n">
        <x:v>16905</x:v>
      </x:c>
      <x:c r="K37" t="str">
        <x:v>Iran - Israel, United States of America</x:v>
      </x:c>
      <x:c r="L37" t="n">
        <x:v>18868</x:v>
      </x:c>
      <x:c r="M37" t="n">
        <x:v>18868</x:v>
      </x:c>
      <x:c r="N37" t="str">
        <x:v>Government of Iran - Government of Israel, Government of United States of America</x:v>
      </x:c>
      <x:c r="O37" t="n">
        <x:v>114</x:v>
      </x:c>
      <x:c r="P37" t="n">
        <x:v>114</x:v>
      </x:c>
      <x:c r="Q37" t="str">
        <x:v>Government of Iran</x:v>
      </x:c>
      <x:c r="R37" t="n">
        <x:v>9865</x:v>
      </x:c>
      <x:c r="S37" t="n">
        <x:v>9865</x:v>
      </x:c>
      <x:c r="T37" t="str">
        <x:v>Government of Israel, Government of United States of America</x:v>
      </x:c>
      <x:c r="U37" t="n">
        <x:v>1</x:v>
      </x:c>
      <x:c r="V37" t="str">
        <x:v>"Agence France Presse,2026-07-12,Overnight US strikes killed Iranian soldier: media"</x:v>
      </x:c>
      <x:c r="W37" t="str">
        <x:v>Agence France Presse</x:v>
      </x:c>
      <x:c r="X37" t="str">
        <x:v>2026-07-12</x:v>
      </x:c>
      <x:c r="Y37" t="str">
        <x:v>Overnight US strikes killed Iranian soldier: media</x:v>
      </x:c>
      <x:c r="Z37" t="str">
        <x:v>local official, Mehr and Tasnim news agencies</x:v>
      </x:c>
      <x:c r="AA37" t="n">
        <x:v>1</x:v>
      </x:c>
      <x:c r="AB37" t="str">
        <x:v>Bandar-e Jask town</x:v>
      </x:c>
      <x:c r="AC37" t="str">
        <x:v>port of Jask</x:v>
      </x:c>
      <x:c r="AD37" t="str">
        <x:v>Hormozgan province</x:v>
      </x:c>
      <x:c r="AE37" t="str">
        <x:v>Jask county</x:v>
      </x:c>
      <x:c r="AF37" t="n">
        <x:v>25.648133</x:v>
      </x:c>
      <x:c r="AG37" t="n">
        <x:v>57.779986</x:v>
      </x:c>
      <x:c r="AH37" t="str">
        <x:v>POINT (57.779986 25.648133)</x:v>
      </x:c>
      <x:c r="AI37" t="n">
        <x:v>166796</x:v>
      </x:c>
      <x:c r="AJ37" t="str">
        <x:v>Iran</x:v>
      </x:c>
      <x:c r="AK37" t="n">
        <x:v>630</x:v>
      </x:c>
      <x:c r="AL37" t="str">
        <x:v>Middle East</x:v>
      </x:c>
      <x:c r="AM37" t="n">
        <x:v>1</x:v>
      </x:c>
      <x:c r="AN37" t="n">
        <x:v>1</x:v>
      </x:c>
      <x:c r="AO37" s="30" t="n">
        <x:v>46215</x:v>
      </x:c>
      <x:c r="AP37" s="30" t="n">
        <x:v>46215</x:v>
      </x:c>
      <x:c r="AQ37" t="n">
        <x:v>1</x:v>
      </x:c>
      <x:c r="AR37" t="n">
        <x:v>0</x:v>
      </x:c>
      <x:c r="AS37" t="n">
        <x:v>0</x:v>
      </x:c>
      <x:c r="AT37" t="n">
        <x:v>0</x:v>
      </x:c>
      <x:c r="AU37" t="n">
        <x:v>1</x:v>
      </x:c>
      <x:c r="AV37" t="n">
        <x:v>1</x:v>
      </x:c>
      <x:c r="AW37" t="n">
        <x:v>1</x:v>
      </x:c>
      <x:c r="AX37" t="n">
        <x:v>630</x:v>
      </x:c>
      <x:c r="AY37"/>
      <x:c r="AZ37" t="str">
        <x:v>July 2026 v26.0.7</x:v>
      </x:c>
    </x:row>
    <x:row r="38">
      <x:c r="A38" s="18" t="str">
        <x:v>US</x:v>
      </x:c>
      <x:c r="B38" s="18" t="str">
        <x:v>US strikes kill one, wound 4 in southwest Iran: state media</x:v>
      </x:c>
      <x:c r="C38" t="n">
        <x:v>637526</x:v>
      </x:c>
      <x:c r="D38" t="str">
        <x:v>IRN-2026-1-18868-122</x:v>
      </x:c>
      <x:c r="E38" t="n">
        <x:v>2026</x:v>
      </x:c>
      <x:c r="F38" t="str">
        <x:v>true</x:v>
      </x:c>
      <x:c r="G38" t="str">
        <x:v>Clear</x:v>
      </x:c>
      <x:c r="H38" t="n">
        <x:v>1</x:v>
      </x:c>
      <x:c r="I38"/>
      <x:c r="J38" t="n">
        <x:v>16905</x:v>
      </x:c>
      <x:c r="K38" t="str">
        <x:v>Iran - Israel, United States of America</x:v>
      </x:c>
      <x:c r="L38" t="n">
        <x:v>18868</x:v>
      </x:c>
      <x:c r="M38" t="n">
        <x:v>18868</x:v>
      </x:c>
      <x:c r="N38" t="str">
        <x:v>Government of Iran - Government of Israel, Government of United States of America</x:v>
      </x:c>
      <x:c r="O38" t="n">
        <x:v>114</x:v>
      </x:c>
      <x:c r="P38" t="n">
        <x:v>114</x:v>
      </x:c>
      <x:c r="Q38" t="str">
        <x:v>Government of Iran</x:v>
      </x:c>
      <x:c r="R38" t="n">
        <x:v>9865</x:v>
      </x:c>
      <x:c r="S38" t="n">
        <x:v>9865</x:v>
      </x:c>
      <x:c r="T38" t="str">
        <x:v>Government of Israel, Government of United States of America</x:v>
      </x:c>
      <x:c r="U38" t="n">
        <x:v>3</x:v>
      </x:c>
      <x:c r="V38" t="str">
        <x:v>"Agence France Presse,2026-07-13,US strikes kill one, wound 4 in southwest Iran: state media";"Agence France Presse,2026-07-13,US strikes kill two in southwest Iran: local media";"BBC Monitoring News Alert,2026-07-13,Three soldiers killed in US air strike in south-western Iran"</x:v>
      </x:c>
      <x:c r="W38" t="str">
        <x:v>Agence France Presse;Agence France Presse;BBC Monitoring News Alert</x:v>
      </x:c>
      <x:c r="X38" t="str">
        <x:v>2026-07-13;2026-07-13;2026-07-13</x:v>
      </x:c>
      <x:c r="Y38" t="str">
        <x:v>US strikes kill one, wound 4 in southwest Iran: state media;US strikes kill two in southwest Iran: local media;Three soldiers killed in US air strike in south-western Iran</x:v>
      </x:c>
      <x:c r="Z38" t="str">
        <x:v>Khuzestan province's deputy governor for security and law enforcement, media</x:v>
      </x:c>
      <x:c r="AA38" t="n">
        <x:v>2</x:v>
      </x:c>
      <x:c r="AB38" t="str">
        <x:v>Abadan town</x:v>
      </x:c>
      <x:c r="AC38" t="str">
        <x:v>"three different locations" on the outskirts of the city of Abadan.</x:v>
      </x:c>
      <x:c r="AD38" t="str">
        <x:v>Khuzestan province</x:v>
      </x:c>
      <x:c r="AE38" t="str">
        <x:v>Abadan county</x:v>
      </x:c>
      <x:c r="AF38" t="n">
        <x:v>30.350556</x:v>
      </x:c>
      <x:c r="AG38" t="n">
        <x:v>48.283333</x:v>
      </x:c>
      <x:c r="AH38" t="str">
        <x:v>POINT (48.283333 30.350556)</x:v>
      </x:c>
      <x:c r="AI38" t="n">
        <x:v>173257</x:v>
      </x:c>
      <x:c r="AJ38" t="str">
        <x:v>Iran</x:v>
      </x:c>
      <x:c r="AK38" t="n">
        <x:v>630</x:v>
      </x:c>
      <x:c r="AL38" t="str">
        <x:v>Middle East</x:v>
      </x:c>
      <x:c r="AM38" t="n">
        <x:v>1</x:v>
      </x:c>
      <x:c r="AN38" t="n">
        <x:v>1</x:v>
      </x:c>
      <x:c r="AO38" s="30" t="n">
        <x:v>46216</x:v>
      </x:c>
      <x:c r="AP38" s="30" t="n">
        <x:v>46216</x:v>
      </x:c>
      <x:c r="AQ38" t="n">
        <x:v>3</x:v>
      </x:c>
      <x:c r="AR38" t="n">
        <x:v>0</x:v>
      </x:c>
      <x:c r="AS38" t="n">
        <x:v>0</x:v>
      </x:c>
      <x:c r="AT38" t="n">
        <x:v>0</x:v>
      </x:c>
      <x:c r="AU38" t="n">
        <x:v>3</x:v>
      </x:c>
      <x:c r="AV38" t="n">
        <x:v>3</x:v>
      </x:c>
      <x:c r="AW38" t="n">
        <x:v>3</x:v>
      </x:c>
      <x:c r="AX38" t="n">
        <x:v>630</x:v>
      </x:c>
      <x:c r="AY38"/>
      <x:c r="AZ38" t="str">
        <x:v>July 2026 v26.0.7</x:v>
      </x:c>
    </x:row>
    <x:row r="39">
      <x:c r="A39" s="18" t="str">
        <x:v>US</x:v>
      </x:c>
      <x:c r="B39" s="18" t="str">
        <x:v>Several killed in latest U.S. strikes on Iran</x:v>
      </x:c>
      <x:c r="C39" t="n">
        <x:v>637528</x:v>
      </x:c>
      <x:c r="D39" t="str">
        <x:v>IRN-2026-1-18868-123</x:v>
      </x:c>
      <x:c r="E39" t="n">
        <x:v>2026</x:v>
      </x:c>
      <x:c r="F39" t="str">
        <x:v>true</x:v>
      </x:c>
      <x:c r="G39" t="str">
        <x:v>Clear</x:v>
      </x:c>
      <x:c r="H39" t="n">
        <x:v>1</x:v>
      </x:c>
      <x:c r="I39"/>
      <x:c r="J39" t="n">
        <x:v>16905</x:v>
      </x:c>
      <x:c r="K39" t="str">
        <x:v>Iran - Israel, United States of America</x:v>
      </x:c>
      <x:c r="L39" t="n">
        <x:v>18868</x:v>
      </x:c>
      <x:c r="M39" t="n">
        <x:v>18868</x:v>
      </x:c>
      <x:c r="N39" t="str">
        <x:v>Government of Iran - Government of Israel, Government of United States of America</x:v>
      </x:c>
      <x:c r="O39" t="n">
        <x:v>114</x:v>
      </x:c>
      <x:c r="P39" t="n">
        <x:v>114</x:v>
      </x:c>
      <x:c r="Q39" t="str">
        <x:v>Government of Iran</x:v>
      </x:c>
      <x:c r="R39" t="n">
        <x:v>9865</x:v>
      </x:c>
      <x:c r="S39" t="n">
        <x:v>9865</x:v>
      </x:c>
      <x:c r="T39" t="str">
        <x:v>Government of Israel, Government of United States of America</x:v>
      </x:c>
      <x:c r="U39" t="n">
        <x:v>1</x:v>
      </x:c>
      <x:c r="V39" t="str">
        <x:v>"Xinhua News Agency,2026-07-13,Several killed in latest U.S. strikes on Iran"</x:v>
      </x:c>
      <x:c r="W39" t="str">
        <x:v>Xinhua News Agency</x:v>
      </x:c>
      <x:c r="X39" t="str">
        <x:v>2026-07-13</x:v>
      </x:c>
      <x:c r="Y39" t="str">
        <x:v>Several killed in latest U.S. strikes on Iran</x:v>
      </x:c>
      <x:c r="Z39" t="str">
        <x:v>Khuzestan's deputy
governor for security and law enforcement affairs</x:v>
      </x:c>
      <x:c r="AA39" t="n">
        <x:v>1</x:v>
      </x:c>
      <x:c r="AB39" t="str">
        <x:v>Bandar-e Mahshahr town</x:v>
      </x:c>
      <x:c r="AC39" t="str">
        <x:v>Bandar-e Mahshahr County in Khuzestan</x:v>
      </x:c>
      <x:c r="AD39" t="str">
        <x:v>Khuzestan province</x:v>
      </x:c>
      <x:c r="AE39" t="str">
        <x:v>Bandar-e Mahshahr county</x:v>
      </x:c>
      <x:c r="AF39" t="n">
        <x:v>30.5543</x:v>
      </x:c>
      <x:c r="AG39" t="n">
        <x:v>49.18589</x:v>
      </x:c>
      <x:c r="AH39" t="str">
        <x:v>POINT (49.18589 30.5543)</x:v>
      </x:c>
      <x:c r="AI39" t="n">
        <x:v>173979</x:v>
      </x:c>
      <x:c r="AJ39" t="str">
        <x:v>Iran</x:v>
      </x:c>
      <x:c r="AK39" t="n">
        <x:v>630</x:v>
      </x:c>
      <x:c r="AL39" t="str">
        <x:v>Middle East</x:v>
      </x:c>
      <x:c r="AM39" t="n">
        <x:v>1</x:v>
      </x:c>
      <x:c r="AN39" t="n">
        <x:v>1</x:v>
      </x:c>
      <x:c r="AO39" s="30" t="n">
        <x:v>46216</x:v>
      </x:c>
      <x:c r="AP39" s="30" t="n">
        <x:v>46216</x:v>
      </x:c>
      <x:c r="AQ39" t="n">
        <x:v>0</x:v>
      </x:c>
      <x:c r="AR39" t="n">
        <x:v>0</x:v>
      </x:c>
      <x:c r="AS39" t="n">
        <x:v>0</x:v>
      </x:c>
      <x:c r="AT39" t="n">
        <x:v>1</x:v>
      </x:c>
      <x:c r="AU39" t="n">
        <x:v>1</x:v>
      </x:c>
      <x:c r="AV39" t="n">
        <x:v>1</x:v>
      </x:c>
      <x:c r="AW39" t="n">
        <x:v>1</x:v>
      </x:c>
      <x:c r="AX39" t="n">
        <x:v>630</x:v>
      </x:c>
      <x:c r="AY39"/>
      <x:c r="AZ39" t="str">
        <x:v>July 2026 v26.0.7</x:v>
      </x:c>
    </x:row>
    <x:row r="40">
      <x:c r="A40" s="18" t="str">
        <x:v>US</x:v>
      </x:c>
      <x:c r="B40" s="18" t="str">
        <x:v>3rd LD: At least 3 killed, 4 injured in fresh U.S. strikes on Iran -- media</x:v>
      </x:c>
      <x:c r="C40" t="n">
        <x:v>637532</x:v>
      </x:c>
      <x:c r="D40" t="str">
        <x:v>IRN-2026-1-18868-124</x:v>
      </x:c>
      <x:c r="E40" t="n">
        <x:v>2026</x:v>
      </x:c>
      <x:c r="F40" t="str">
        <x:v>true</x:v>
      </x:c>
      <x:c r="G40" t="str">
        <x:v>Check geography</x:v>
      </x:c>
      <x:c r="H40" t="n">
        <x:v>1</x:v>
      </x:c>
      <x:c r="I40"/>
      <x:c r="J40" t="n">
        <x:v>16905</x:v>
      </x:c>
      <x:c r="K40" t="str">
        <x:v>Iran - Israel, United States of America</x:v>
      </x:c>
      <x:c r="L40" t="n">
        <x:v>18868</x:v>
      </x:c>
      <x:c r="M40" t="n">
        <x:v>18868</x:v>
      </x:c>
      <x:c r="N40" t="str">
        <x:v>Government of Iran - Government of Israel, Government of United States of America</x:v>
      </x:c>
      <x:c r="O40" t="n">
        <x:v>114</x:v>
      </x:c>
      <x:c r="P40" t="n">
        <x:v>114</x:v>
      </x:c>
      <x:c r="Q40" t="str">
        <x:v>Government of Iran</x:v>
      </x:c>
      <x:c r="R40" t="n">
        <x:v>9865</x:v>
      </x:c>
      <x:c r="S40" t="n">
        <x:v>9865</x:v>
      </x:c>
      <x:c r="T40" t="str">
        <x:v>Government of Israel, Government of United States of America</x:v>
      </x:c>
      <x:c r="U40" t="n">
        <x:v>1</x:v>
      </x:c>
      <x:c r="V40" t="str">
        <x:v>"Xinhua News Agency,2026-07-14,3rd LD: At least 3 killed, 4 injured in fresh U.S. strikes on Iran -- media"</x:v>
      </x:c>
      <x:c r="W40" t="str">
        <x:v>Xinhua News Agency</x:v>
      </x:c>
      <x:c r="X40" t="str">
        <x:v>2026-07-14</x:v>
      </x:c>
      <x:c r="Y40" t="str">
        <x:v>3rd LD: At least 3 killed, 4 injured in fresh U.S. strikes on Iran -- media</x:v>
      </x:c>
      <x:c r="Z40" t="str">
        <x:v>state-run IRIB news agency</x:v>
      </x:c>
      <x:c r="AA40" t="n">
        <x:v>4</x:v>
      </x:c>
      <x:c r="AB40" t="str">
        <x:v>Hormozgan province</x:v>
      </x:c>
      <x:c r="AC40" t="str">
        <x:v>a Hormozgan village</x:v>
      </x:c>
      <x:c r="AD40" t="str">
        <x:v>Hormozgan province</x:v>
      </x:c>
      <x:c r="AE40"/>
      <x:c r="AF40" t="n">
        <x:v>27.1884</x:v>
      </x:c>
      <x:c r="AG40" t="n">
        <x:v>56.2768</x:v>
      </x:c>
      <x:c r="AH40" t="str">
        <x:v>POINT (56.2768 27.1884)</x:v>
      </x:c>
      <x:c r="AI40" t="n">
        <x:v>168953</x:v>
      </x:c>
      <x:c r="AJ40" t="str">
        <x:v>Iran</x:v>
      </x:c>
      <x:c r="AK40" t="n">
        <x:v>630</x:v>
      </x:c>
      <x:c r="AL40" t="str">
        <x:v>Middle East</x:v>
      </x:c>
      <x:c r="AM40" t="n">
        <x:v>1</x:v>
      </x:c>
      <x:c r="AN40" t="n">
        <x:v>1</x:v>
      </x:c>
      <x:c r="AO40" s="30" t="n">
        <x:v>46217</x:v>
      </x:c>
      <x:c r="AP40" s="30" t="n">
        <x:v>46217</x:v>
      </x:c>
      <x:c r="AQ40" t="n">
        <x:v>0</x:v>
      </x:c>
      <x:c r="AR40" t="n">
        <x:v>0</x:v>
      </x:c>
      <x:c r="AS40" t="n">
        <x:v>3</x:v>
      </x:c>
      <x:c r="AT40" t="n">
        <x:v>0</x:v>
      </x:c>
      <x:c r="AU40" t="n">
        <x:v>3</x:v>
      </x:c>
      <x:c r="AV40" t="n">
        <x:v>3</x:v>
      </x:c>
      <x:c r="AW40" t="n">
        <x:v>3</x:v>
      </x:c>
      <x:c r="AX40" t="n">
        <x:v>630</x:v>
      </x:c>
      <x:c r="AY40"/>
      <x:c r="AZ40" t="str">
        <x:v>July 2026 v26.0.7</x:v>
      </x:c>
    </x:row>
    <x:row r="41">
      <x:c r="A41" s="18" t="str">
        <x:v>US</x:v>
      </x:c>
      <x:c r="B41" s="18" t="str">
        <x:v>US strikes killed seven military personnel in southeast: Iran army</x:v>
      </x:c>
      <x:c r="C41" t="n">
        <x:v>637540</x:v>
      </x:c>
      <x:c r="D41" t="str">
        <x:v>IRN-2026-1-18868-126</x:v>
      </x:c>
      <x:c r="E41" t="n">
        <x:v>2026</x:v>
      </x:c>
      <x:c r="F41" t="str">
        <x:v>true</x:v>
      </x:c>
      <x:c r="G41" t="str">
        <x:v>Clear</x:v>
      </x:c>
      <x:c r="H41" t="n">
        <x:v>1</x:v>
      </x:c>
      <x:c r="I41"/>
      <x:c r="J41" t="n">
        <x:v>16905</x:v>
      </x:c>
      <x:c r="K41" t="str">
        <x:v>Iran - Israel, United States of America</x:v>
      </x:c>
      <x:c r="L41" t="n">
        <x:v>18868</x:v>
      </x:c>
      <x:c r="M41" t="n">
        <x:v>18868</x:v>
      </x:c>
      <x:c r="N41" t="str">
        <x:v>Government of Iran - Government of Israel, Government of United States of America</x:v>
      </x:c>
      <x:c r="O41" t="n">
        <x:v>114</x:v>
      </x:c>
      <x:c r="P41" t="n">
        <x:v>114</x:v>
      </x:c>
      <x:c r="Q41" t="str">
        <x:v>Government of Iran</x:v>
      </x:c>
      <x:c r="R41" t="n">
        <x:v>9865</x:v>
      </x:c>
      <x:c r="S41" t="n">
        <x:v>9865</x:v>
      </x:c>
      <x:c r="T41" t="str">
        <x:v>Government of Israel, Government of United States of America</x:v>
      </x:c>
      <x:c r="U41" t="n">
        <x:v>2</x:v>
      </x:c>
      <x:c r="V41" t="str">
        <x:v>"Agence France Presse,2026-07-15,US strikes killed seven military personnel in southeast: Iran army";"Xinhua News Agency,2026-07-15,Iran says over 30 civilians killed in recent U.S. attacks"</x:v>
      </x:c>
      <x:c r="W41" t="str">
        <x:v>Agence France Presse;Xinhua News Agency</x:v>
      </x:c>
      <x:c r="X41" t="str">
        <x:v>2026-07-15;2026-07-15</x:v>
      </x:c>
      <x:c r="Y41" t="str">
        <x:v>US strikes killed seven military personnel in southeast: Iran army;Iran says over 30 civilians killed in recent U.S. attacks</x:v>
      </x:c>
      <x:c r="Z41" t="str">
        <x:v>Iranian army</x:v>
      </x:c>
      <x:c r="AA41" t="n">
        <x:v>3</x:v>
      </x:c>
      <x:c r="AB41" t="str">
        <x:v>Bampur county</x:v>
      </x:c>
      <x:c r="AC41" t="str">
        <x:v>Bampur County</x:v>
      </x:c>
      <x:c r="AD41" t="str">
        <x:v>Sistan and Baluchestan province</x:v>
      </x:c>
      <x:c r="AE41" t="str">
        <x:v>Bampur county</x:v>
      </x:c>
      <x:c r="AF41" t="n">
        <x:v>27.168056</x:v>
      </x:c>
      <x:c r="AG41" t="n">
        <x:v>60.222778</x:v>
      </x:c>
      <x:c r="AH41" t="str">
        <x:v>POINT (60.222778 27.168056)</x:v>
      </x:c>
      <x:c r="AI41" t="n">
        <x:v>168961</x:v>
      </x:c>
      <x:c r="AJ41" t="str">
        <x:v>Iran</x:v>
      </x:c>
      <x:c r="AK41" t="n">
        <x:v>630</x:v>
      </x:c>
      <x:c r="AL41" t="str">
        <x:v>Middle East</x:v>
      </x:c>
      <x:c r="AM41" t="n">
        <x:v>1</x:v>
      </x:c>
      <x:c r="AN41" t="n">
        <x:v>1</x:v>
      </x:c>
      <x:c r="AO41" s="30" t="n">
        <x:v>46218</x:v>
      </x:c>
      <x:c r="AP41" s="30" t="n">
        <x:v>46218</x:v>
      </x:c>
      <x:c r="AQ41" t="n">
        <x:v>7</x:v>
      </x:c>
      <x:c r="AR41" t="n">
        <x:v>0</x:v>
      </x:c>
      <x:c r="AS41" t="n">
        <x:v>0</x:v>
      </x:c>
      <x:c r="AT41" t="n">
        <x:v>0</x:v>
      </x:c>
      <x:c r="AU41" t="n">
        <x:v>7</x:v>
      </x:c>
      <x:c r="AV41" t="n">
        <x:v>7</x:v>
      </x:c>
      <x:c r="AW41" t="n">
        <x:v>7</x:v>
      </x:c>
      <x:c r="AX41" t="n">
        <x:v>630</x:v>
      </x:c>
      <x:c r="AY41"/>
      <x:c r="AZ41" t="str">
        <x:v>July 2026 v26.0.7</x:v>
      </x:c>
    </x:row>
    <x:row r="42">
      <x:c r="A42" s="18" t="str">
        <x:v>US</x:v>
      </x:c>
      <x:c r="B42" s="18" t="str">
        <x:v>At least 7 people killed as US airstrikes target bridges in southern Iran, Iranian state
television reports</x:v>
      </x:c>
      <x:c r="C42" t="n">
        <x:v>637542</x:v>
      </x:c>
      <x:c r="D42" t="str">
        <x:v>IRN-2026-1-18868-127</x:v>
      </x:c>
      <x:c r="E42" t="n">
        <x:v>2026</x:v>
      </x:c>
      <x:c r="F42" t="str">
        <x:v>true</x:v>
      </x:c>
      <x:c r="G42" t="str">
        <x:v>Clear</x:v>
      </x:c>
      <x:c r="H42" t="n">
        <x:v>1</x:v>
      </x:c>
      <x:c r="I42"/>
      <x:c r="J42" t="n">
        <x:v>16905</x:v>
      </x:c>
      <x:c r="K42" t="str">
        <x:v>Iran - Israel, United States of America</x:v>
      </x:c>
      <x:c r="L42" t="n">
        <x:v>18868</x:v>
      </x:c>
      <x:c r="M42" t="n">
        <x:v>18868</x:v>
      </x:c>
      <x:c r="N42" t="str">
        <x:v>Government of Iran - Government of Israel, Government of United States of America</x:v>
      </x:c>
      <x:c r="O42" t="n">
        <x:v>114</x:v>
      </x:c>
      <x:c r="P42" t="n">
        <x:v>114</x:v>
      </x:c>
      <x:c r="Q42" t="str">
        <x:v>Government of Iran</x:v>
      </x:c>
      <x:c r="R42" t="n">
        <x:v>9865</x:v>
      </x:c>
      <x:c r="S42" t="n">
        <x:v>9865</x:v>
      </x:c>
      <x:c r="T42" t="str">
        <x:v>Government of Israel, Government of United States of America</x:v>
      </x:c>
      <x:c r="U42" t="n">
        <x:v>2</x:v>
      </x:c>
      <x:c r="V42" t="str">
        <x:v>"Associated Press Newswires,2026-07-17,At least 7 people killed as US airstrikes target bridges in southern Iran, Iranian state
television reports";"Xinhua News Agency,2026-07-16,2nd LD: 1 killed, 7 wounded in fresh U.S. strikes against S. Iran -- media"</x:v>
      </x:c>
      <x:c r="W42" t="str">
        <x:v>Associated Press Newswires;Xinhua News Agency</x:v>
      </x:c>
      <x:c r="X42" t="str">
        <x:v>2026-07-17;2026-07-16</x:v>
      </x:c>
      <x:c r="Y42" t="str">
        <x:v>At least 7 people killed as US airstrikes target bridges in southern Iran, Iranian state
television reports;2nd LD: 1 killed, 7 wounded in fresh U.S. strikes against S. Iran -- media</x:v>
      </x:c>
      <x:c r="Z42" t="str">
        <x:v>state-run IRIB news agency</x:v>
      </x:c>
      <x:c r="AA42" t="n">
        <x:v>3</x:v>
      </x:c>
      <x:c r="AB42" t="str">
        <x:v>Khamir county</x:v>
      </x:c>
      <x:c r="AC42" t="str">
        <x:v>Bandar Khamir County</x:v>
      </x:c>
      <x:c r="AD42" t="str">
        <x:v>Hormozgan province</x:v>
      </x:c>
      <x:c r="AE42" t="str">
        <x:v>Khamir county</x:v>
      </x:c>
      <x:c r="AF42" t="n">
        <x:v>27.27756</x:v>
      </x:c>
      <x:c r="AG42" t="n">
        <x:v>55.50915</x:v>
      </x:c>
      <x:c r="AH42" t="str">
        <x:v>POINT (55.50915 27.27756)</x:v>
      </x:c>
      <x:c r="AI42" t="n">
        <x:v>168952</x:v>
      </x:c>
      <x:c r="AJ42" t="str">
        <x:v>Iran</x:v>
      </x:c>
      <x:c r="AK42" t="n">
        <x:v>630</x:v>
      </x:c>
      <x:c r="AL42" t="str">
        <x:v>Middle East</x:v>
      </x:c>
      <x:c r="AM42" t="n">
        <x:v>1</x:v>
      </x:c>
      <x:c r="AN42" t="n">
        <x:v>1</x:v>
      </x:c>
      <x:c r="AO42" s="30" t="n">
        <x:v>46219</x:v>
      </x:c>
      <x:c r="AP42" s="30" t="n">
        <x:v>46219</x:v>
      </x:c>
      <x:c r="AQ42" t="n">
        <x:v>0</x:v>
      </x:c>
      <x:c r="AR42" t="n">
        <x:v>0</x:v>
      </x:c>
      <x:c r="AS42" t="n">
        <x:v>1</x:v>
      </x:c>
      <x:c r="AT42" t="n">
        <x:v>6</x:v>
      </x:c>
      <x:c r="AU42" t="n">
        <x:v>7</x:v>
      </x:c>
      <x:c r="AV42" t="n">
        <x:v>7</x:v>
      </x:c>
      <x:c r="AW42" t="n">
        <x:v>7</x:v>
      </x:c>
      <x:c r="AX42" t="n">
        <x:v>630</x:v>
      </x:c>
      <x:c r="AY42"/>
      <x:c r="AZ42" t="str">
        <x:v>July 2026 v26.0.7</x:v>
      </x:c>
    </x:row>
    <x:row r="43">
      <x:c r="A43" s="18" t="str">
        <x:v>US</x:v>
      </x:c>
      <x:c r="B43" s="18" t="str">
        <x:v>US strikes kill 3, wound 8 in southern Iran: Iranian state media</x:v>
      </x:c>
      <x:c r="C43" t="n">
        <x:v>637545</x:v>
      </x:c>
      <x:c r="D43" t="str">
        <x:v>IRN-2026-1-18868-128</x:v>
      </x:c>
      <x:c r="E43" t="n">
        <x:v>2026</x:v>
      </x:c>
      <x:c r="F43" t="str">
        <x:v>true</x:v>
      </x:c>
      <x:c r="G43" t="str">
        <x:v>Clear</x:v>
      </x:c>
      <x:c r="H43" t="n">
        <x:v>1</x:v>
      </x:c>
      <x:c r="I43"/>
      <x:c r="J43" t="n">
        <x:v>16905</x:v>
      </x:c>
      <x:c r="K43" t="str">
        <x:v>Iran - Israel, United States of America</x:v>
      </x:c>
      <x:c r="L43" t="n">
        <x:v>18868</x:v>
      </x:c>
      <x:c r="M43" t="n">
        <x:v>18868</x:v>
      </x:c>
      <x:c r="N43" t="str">
        <x:v>Government of Iran - Government of Israel, Government of United States of America</x:v>
      </x:c>
      <x:c r="O43" t="n">
        <x:v>114</x:v>
      </x:c>
      <x:c r="P43" t="n">
        <x:v>114</x:v>
      </x:c>
      <x:c r="Q43" t="str">
        <x:v>Government of Iran</x:v>
      </x:c>
      <x:c r="R43" t="n">
        <x:v>9865</x:v>
      </x:c>
      <x:c r="S43" t="n">
        <x:v>9865</x:v>
      </x:c>
      <x:c r="T43" t="str">
        <x:v>Government of Israel, Government of United States of America</x:v>
      </x:c>
      <x:c r="U43" t="n">
        <x:v>1</x:v>
      </x:c>
      <x:c r="V43" t="str">
        <x:v>"Agence France Presse,2026-07-18,US strikes kill 3, wound 8 in southern Iran: Iranian state media"</x:v>
      </x:c>
      <x:c r="W43" t="str">
        <x:v>Agence France Presse</x:v>
      </x:c>
      <x:c r="X43" t="str">
        <x:v>2026-07-18</x:v>
      </x:c>
      <x:c r="Y43" t="str">
        <x:v>US strikes kill 3, wound 8 in southern Iran: Iranian state media</x:v>
      </x:c>
      <x:c r="Z43" t="str">
        <x:v>deputy political, security and social affairs governor of Hormozgan</x:v>
      </x:c>
      <x:c r="AA43" t="n">
        <x:v>4</x:v>
      </x:c>
      <x:c r="AB43" t="str">
        <x:v>Hormozgan province</x:v>
      </x:c>
      <x:c r="AC43" t="str">
        <x:v>Hormozgan province</x:v>
      </x:c>
      <x:c r="AD43" t="str">
        <x:v>Hormozgan province</x:v>
      </x:c>
      <x:c r="AE43"/>
      <x:c r="AF43" t="n">
        <x:v>27.1884</x:v>
      </x:c>
      <x:c r="AG43" t="n">
        <x:v>56.2768</x:v>
      </x:c>
      <x:c r="AH43" t="str">
        <x:v>POINT (56.2768 27.1884)</x:v>
      </x:c>
      <x:c r="AI43" t="n">
        <x:v>168953</x:v>
      </x:c>
      <x:c r="AJ43" t="str">
        <x:v>Iran</x:v>
      </x:c>
      <x:c r="AK43" t="n">
        <x:v>630</x:v>
      </x:c>
      <x:c r="AL43" t="str">
        <x:v>Middle East</x:v>
      </x:c>
      <x:c r="AM43" t="n">
        <x:v>1</x:v>
      </x:c>
      <x:c r="AN43" t="n">
        <x:v>1</x:v>
      </x:c>
      <x:c r="AO43" s="30" t="n">
        <x:v>46221</x:v>
      </x:c>
      <x:c r="AP43" s="30" t="n">
        <x:v>46221</x:v>
      </x:c>
      <x:c r="AQ43" t="n">
        <x:v>0</x:v>
      </x:c>
      <x:c r="AR43" t="n">
        <x:v>0</x:v>
      </x:c>
      <x:c r="AS43" t="n">
        <x:v>0</x:v>
      </x:c>
      <x:c r="AT43" t="n">
        <x:v>3</x:v>
      </x:c>
      <x:c r="AU43" t="n">
        <x:v>3</x:v>
      </x:c>
      <x:c r="AV43" t="n">
        <x:v>3</x:v>
      </x:c>
      <x:c r="AW43" t="n">
        <x:v>3</x:v>
      </x:c>
      <x:c r="AX43" t="n">
        <x:v>630</x:v>
      </x:c>
      <x:c r="AY43"/>
      <x:c r="AZ43" t="str">
        <x:v>July 2026 v26.0.7</x:v>
      </x:c>
    </x:row>
    <x:row r="44">
      <x:c r="A44" s="18" t="str">
        <x:v>US</x:v>
      </x:c>
      <x:c r="B44" s="18" t="str">
        <x:v>1 killed, several wounded in U.S. overnight strikes on 2 provinces in Iran</x:v>
      </x:c>
      <x:c r="C44" t="n">
        <x:v>637525</x:v>
      </x:c>
      <x:c r="D44" t="str">
        <x:v>IRN-2026-1-18868-121</x:v>
      </x:c>
      <x:c r="E44" t="n">
        <x:v>2026</x:v>
      </x:c>
      <x:c r="F44" t="str">
        <x:v>true</x:v>
      </x:c>
      <x:c r="G44" t="str">
        <x:v>Clear</x:v>
      </x:c>
      <x:c r="H44" t="n">
        <x:v>1</x:v>
      </x:c>
      <x:c r="I44"/>
      <x:c r="J44" t="n">
        <x:v>16905</x:v>
      </x:c>
      <x:c r="K44" t="str">
        <x:v>Iran - Israel, United States of America</x:v>
      </x:c>
      <x:c r="L44" t="n">
        <x:v>18868</x:v>
      </x:c>
      <x:c r="M44" t="n">
        <x:v>18868</x:v>
      </x:c>
      <x:c r="N44" t="str">
        <x:v>Government of Iran - Government of Israel, Government of United States of America</x:v>
      </x:c>
      <x:c r="O44" t="n">
        <x:v>114</x:v>
      </x:c>
      <x:c r="P44" t="n">
        <x:v>114</x:v>
      </x:c>
      <x:c r="Q44" t="str">
        <x:v>Government of Iran</x:v>
      </x:c>
      <x:c r="R44" t="n">
        <x:v>9865</x:v>
      </x:c>
      <x:c r="S44" t="n">
        <x:v>9865</x:v>
      </x:c>
      <x:c r="T44" t="str">
        <x:v>Government of Israel, Government of United States of America</x:v>
      </x:c>
      <x:c r="U44" t="n">
        <x:v>1</x:v>
      </x:c>
      <x:c r="V44" t="str">
        <x:v>"Xinhua News Agency,2026-07-20,1 killed, several wounded in U.S. overnight strikes on 2 provinces in Iran"</x:v>
      </x:c>
      <x:c r="W44" t="str">
        <x:v>Xinhua News Agency</x:v>
      </x:c>
      <x:c r="X44" t="str">
        <x:v>2026-07-20</x:v>
      </x:c>
      <x:c r="Y44" t="str">
        <x:v>1 killed, several wounded in U.S. overnight strikes on 2 provinces in Iran</x:v>
      </x:c>
      <x:c r="Z44" t="str">
        <x:v>semi-official Fars news agency</x:v>
      </x:c>
      <x:c r="AA44" t="n">
        <x:v>1</x:v>
      </x:c>
      <x:c r="AB44" t="str">
        <x:v>Tabriz town</x:v>
      </x:c>
      <x:c r="AC44" t="str">
        <x:v>military area southwest of the provincial capital Tabriz</x:v>
      </x:c>
      <x:c r="AD44" t="str">
        <x:v>East Azarbaijan province</x:v>
      </x:c>
      <x:c r="AE44" t="str">
        <x:v>Tabriz county</x:v>
      </x:c>
      <x:c r="AF44" t="n">
        <x:v>38.080256</x:v>
      </x:c>
      <x:c r="AG44" t="n">
        <x:v>46.292389</x:v>
      </x:c>
      <x:c r="AH44" t="str">
        <x:v>POINT (46.292389 38.080256)</x:v>
      </x:c>
      <x:c r="AI44" t="n">
        <x:v>184773</x:v>
      </x:c>
      <x:c r="AJ44" t="str">
        <x:v>Iran</x:v>
      </x:c>
      <x:c r="AK44" t="n">
        <x:v>630</x:v>
      </x:c>
      <x:c r="AL44" t="str">
        <x:v>Middle East</x:v>
      </x:c>
      <x:c r="AM44" t="n">
        <x:v>1</x:v>
      </x:c>
      <x:c r="AN44" t="n">
        <x:v>1</x:v>
      </x:c>
      <x:c r="AO44" s="30" t="n">
        <x:v>46223</x:v>
      </x:c>
      <x:c r="AP44" s="30" t="n">
        <x:v>46223</x:v>
      </x:c>
      <x:c r="AQ44" t="n">
        <x:v>0</x:v>
      </x:c>
      <x:c r="AR44" t="n">
        <x:v>0</x:v>
      </x:c>
      <x:c r="AS44" t="n">
        <x:v>0</x:v>
      </x:c>
      <x:c r="AT44" t="n">
        <x:v>1</x:v>
      </x:c>
      <x:c r="AU44" t="n">
        <x:v>1</x:v>
      </x:c>
      <x:c r="AV44" t="n">
        <x:v>1</x:v>
      </x:c>
      <x:c r="AW44" t="n">
        <x:v>1</x:v>
      </x:c>
      <x:c r="AX44" t="n">
        <x:v>630</x:v>
      </x:c>
      <x:c r="AY44"/>
      <x:c r="AZ44" t="str">
        <x:v>July 2026 v26.0.7</x:v>
      </x:c>
    </x:row>
    <x:row r="45">
      <x:c r="A45" s="18" t="str">
        <x:v>US</x:v>
      </x:c>
      <x:c r="B45" s="18" t="str">
        <x:v>US launches new strikes as Iran warns of regional turmoil</x:v>
      </x:c>
      <x:c r="C45" t="n">
        <x:v>637743</x:v>
      </x:c>
      <x:c r="D45" t="str">
        <x:v>IRN-2026-1-18868-137</x:v>
      </x:c>
      <x:c r="E45" t="n">
        <x:v>2026</x:v>
      </x:c>
      <x:c r="F45" t="str">
        <x:v>true</x:v>
      </x:c>
      <x:c r="G45" t="str">
        <x:v>Clear</x:v>
      </x:c>
      <x:c r="H45" t="n">
        <x:v>1</x:v>
      </x:c>
      <x:c r="I45"/>
      <x:c r="J45" t="n">
        <x:v>16905</x:v>
      </x:c>
      <x:c r="K45" t="str">
        <x:v>Iran - Israel, United States of America</x:v>
      </x:c>
      <x:c r="L45" t="n">
        <x:v>18868</x:v>
      </x:c>
      <x:c r="M45" t="n">
        <x:v>18868</x:v>
      </x:c>
      <x:c r="N45" t="str">
        <x:v>Government of Iran - Government of Israel, Government of United States of America</x:v>
      </x:c>
      <x:c r="O45" t="n">
        <x:v>114</x:v>
      </x:c>
      <x:c r="P45" t="n">
        <x:v>114</x:v>
      </x:c>
      <x:c r="Q45" t="str">
        <x:v>Government of Iran</x:v>
      </x:c>
      <x:c r="R45" t="n">
        <x:v>9865</x:v>
      </x:c>
      <x:c r="S45" t="n">
        <x:v>9865</x:v>
      </x:c>
      <x:c r="T45" t="str">
        <x:v>Government of Israel, Government of United States of America</x:v>
      </x:c>
      <x:c r="U45" t="n">
        <x:v>1</x:v>
      </x:c>
      <x:c r="V45" t="str">
        <x:v>"Al Jazeera English,2026-07-22,US launches new strikes as Iran warns of regional turmoil"</x:v>
      </x:c>
      <x:c r="W45" t="str">
        <x:v>Al Jazeera English</x:v>
      </x:c>
      <x:c r="X45" t="str">
        <x:v>2026-07-22</x:v>
      </x:c>
      <x:c r="Y45" t="str">
        <x:v>US launches new strikes as Iran warns of regional turmoil</x:v>
      </x:c>
      <x:c r="Z45" t="str">
        <x:v>Iranian media</x:v>
      </x:c>
      <x:c r="AA45" t="n">
        <x:v>2</x:v>
      </x:c>
      <x:c r="AB45" t="str">
        <x:v>Shalamcheh border crossing</x:v>
      </x:c>
      <x:c r="AC45" t="str">
        <x:v>Shalamcheh border crossing between Iran and Iraq</x:v>
      </x:c>
      <x:c r="AD45" t="str">
        <x:v>Khuzestan province</x:v>
      </x:c>
      <x:c r="AE45" t="str">
        <x:v>Khorramshahr county</x:v>
      </x:c>
      <x:c r="AF45" t="n">
        <x:v>30.50526</x:v>
      </x:c>
      <x:c r="AG45" t="n">
        <x:v>48.02656</x:v>
      </x:c>
      <x:c r="AH45" t="str">
        <x:v>POINT (48.02656 30.50526)</x:v>
      </x:c>
      <x:c r="AI45" t="n">
        <x:v>173977</x:v>
      </x:c>
      <x:c r="AJ45" t="str">
        <x:v>Iran</x:v>
      </x:c>
      <x:c r="AK45" t="n">
        <x:v>630</x:v>
      </x:c>
      <x:c r="AL45" t="str">
        <x:v>Middle East</x:v>
      </x:c>
      <x:c r="AM45" t="n">
        <x:v>1</x:v>
      </x:c>
      <x:c r="AN45" t="n">
        <x:v>1</x:v>
      </x:c>
      <x:c r="AO45" s="30" t="n">
        <x:v>46225</x:v>
      </x:c>
      <x:c r="AP45" s="30" t="n">
        <x:v>46225</x:v>
      </x:c>
      <x:c r="AQ45" t="n">
        <x:v>0</x:v>
      </x:c>
      <x:c r="AR45" t="n">
        <x:v>0</x:v>
      </x:c>
      <x:c r="AS45" t="n">
        <x:v>0</x:v>
      </x:c>
      <x:c r="AT45" t="n">
        <x:v>2</x:v>
      </x:c>
      <x:c r="AU45" t="n">
        <x:v>2</x:v>
      </x:c>
      <x:c r="AV45" t="n">
        <x:v>2</x:v>
      </x:c>
      <x:c r="AW45" t="n">
        <x:v>2</x:v>
      </x:c>
      <x:c r="AX45" t="n">
        <x:v>630</x:v>
      </x:c>
      <x:c r="AY45"/>
      <x:c r="AZ45" t="str">
        <x:v>July 2026 v26.0.7</x:v>
      </x:c>
    </x:row>
    <x:row r="46">
      <x:c r="A46" s="18" t="str">
        <x:v>US</x:v>
      </x:c>
      <x:c r="B46" s="18" t="str">
        <x:v>Iran says US attack on southwest kills at least four people</x:v>
      </x:c>
      <x:c r="C46" t="n">
        <x:v>637553</x:v>
      </x:c>
      <x:c r="D46" t="str">
        <x:v>IRN-2026-1-18868-131</x:v>
      </x:c>
      <x:c r="E46" t="n">
        <x:v>2026</x:v>
      </x:c>
      <x:c r="F46" t="str">
        <x:v>true</x:v>
      </x:c>
      <x:c r="G46" t="str">
        <x:v>Clear</x:v>
      </x:c>
      <x:c r="H46" t="n">
        <x:v>1</x:v>
      </x:c>
      <x:c r="I46"/>
      <x:c r="J46" t="n">
        <x:v>16905</x:v>
      </x:c>
      <x:c r="K46" t="str">
        <x:v>Iran - Israel, United States of America</x:v>
      </x:c>
      <x:c r="L46" t="n">
        <x:v>18868</x:v>
      </x:c>
      <x:c r="M46" t="n">
        <x:v>18868</x:v>
      </x:c>
      <x:c r="N46" t="str">
        <x:v>Government of Iran - Government of Israel, Government of United States of America</x:v>
      </x:c>
      <x:c r="O46" t="n">
        <x:v>114</x:v>
      </x:c>
      <x:c r="P46" t="n">
        <x:v>114</x:v>
      </x:c>
      <x:c r="Q46" t="str">
        <x:v>Government of Iran</x:v>
      </x:c>
      <x:c r="R46" t="n">
        <x:v>9865</x:v>
      </x:c>
      <x:c r="S46" t="n">
        <x:v>9865</x:v>
      </x:c>
      <x:c r="T46" t="str">
        <x:v>Government of Israel, Government of United States of America</x:v>
      </x:c>
      <x:c r="U46" t="n">
        <x:v>1</x:v>
      </x:c>
      <x:c r="V46" t="str">
        <x:v>"Agence France Presse,2026-07-24,Iran says US attack on southwest kills at least four people"</x:v>
      </x:c>
      <x:c r="W46" t="str">
        <x:v>Agence France Presse</x:v>
      </x:c>
      <x:c r="X46" t="str">
        <x:v>2026-07-24</x:v>
      </x:c>
      <x:c r="Y46" t="str">
        <x:v>Iran says US attack on southwest kills at least four people</x:v>
      </x:c>
      <x:c r="Z46" t="str">
        <x:v>deputy governor of Khuzestan province</x:v>
      </x:c>
      <x:c r="AA46" t="n">
        <x:v>2</x:v>
      </x:c>
      <x:c r="AB46" t="str">
        <x:v>Ahvaz town</x:v>
      </x:c>
      <x:c r="AC46" t="str">
        <x:v>around the city of Ahvaz</x:v>
      </x:c>
      <x:c r="AD46" t="str">
        <x:v>Khuzestan province</x:v>
      </x:c>
      <x:c r="AE46" t="str">
        <x:v>Ahvaz county</x:v>
      </x:c>
      <x:c r="AF46" t="n">
        <x:v>31.320278</x:v>
      </x:c>
      <x:c r="AG46" t="n">
        <x:v>48.669167</x:v>
      </x:c>
      <x:c r="AH46" t="str">
        <x:v>POINT (48.669167 31.320278)</x:v>
      </x:c>
      <x:c r="AI46" t="n">
        <x:v>174698</x:v>
      </x:c>
      <x:c r="AJ46" t="str">
        <x:v>Iran</x:v>
      </x:c>
      <x:c r="AK46" t="n">
        <x:v>630</x:v>
      </x:c>
      <x:c r="AL46" t="str">
        <x:v>Middle East</x:v>
      </x:c>
      <x:c r="AM46" t="n">
        <x:v>1</x:v>
      </x:c>
      <x:c r="AN46" t="n">
        <x:v>1</x:v>
      </x:c>
      <x:c r="AO46" s="30" t="n">
        <x:v>46227</x:v>
      </x:c>
      <x:c r="AP46" s="30" t="n">
        <x:v>46227</x:v>
      </x:c>
      <x:c r="AQ46" t="n">
        <x:v>0</x:v>
      </x:c>
      <x:c r="AR46" t="n">
        <x:v>0</x:v>
      </x:c>
      <x:c r="AS46" t="n">
        <x:v>0</x:v>
      </x:c>
      <x:c r="AT46" t="n">
        <x:v>4</x:v>
      </x:c>
      <x:c r="AU46" t="n">
        <x:v>4</x:v>
      </x:c>
      <x:c r="AV46" t="n">
        <x:v>4</x:v>
      </x:c>
      <x:c r="AW46" t="n">
        <x:v>4</x:v>
      </x:c>
      <x:c r="AX46" t="n">
        <x:v>630</x:v>
      </x:c>
      <x:c r="AY46"/>
      <x:c r="AZ46" t="str">
        <x:v>July 2026 v26.0.7</x:v>
      </x:c>
    </x:row>
    <x:row r="47">
      <x:c r="A47" s="18" t="str">
        <x:v>US</x:v>
      </x:c>
      <x:c r="B47" s="18" t="str">
        <x:v>US strike kills three in Qeshm: Iranian media</x:v>
      </x:c>
      <x:c r="C47" t="n">
        <x:v>637563</x:v>
      </x:c>
      <x:c r="D47" t="str">
        <x:v>IRN-2026-1-18868-134</x:v>
      </x:c>
      <x:c r="E47" t="n">
        <x:v>2026</x:v>
      </x:c>
      <x:c r="F47" t="str">
        <x:v>true</x:v>
      </x:c>
      <x:c r="G47" t="str">
        <x:v>Clear</x:v>
      </x:c>
      <x:c r="H47" t="n">
        <x:v>1</x:v>
      </x:c>
      <x:c r="I47"/>
      <x:c r="J47" t="n">
        <x:v>16905</x:v>
      </x:c>
      <x:c r="K47" t="str">
        <x:v>Iran - Israel, United States of America</x:v>
      </x:c>
      <x:c r="L47" t="n">
        <x:v>18868</x:v>
      </x:c>
      <x:c r="M47" t="n">
        <x:v>18868</x:v>
      </x:c>
      <x:c r="N47" t="str">
        <x:v>Government of Iran - Government of Israel, Government of United States of America</x:v>
      </x:c>
      <x:c r="O47" t="n">
        <x:v>114</x:v>
      </x:c>
      <x:c r="P47" t="n">
        <x:v>114</x:v>
      </x:c>
      <x:c r="Q47" t="str">
        <x:v>Government of Iran</x:v>
      </x:c>
      <x:c r="R47" t="n">
        <x:v>9865</x:v>
      </x:c>
      <x:c r="S47" t="n">
        <x:v>9865</x:v>
      </x:c>
      <x:c r="T47" t="str">
        <x:v>Government of Israel, Government of United States of America</x:v>
      </x:c>
      <x:c r="U47" t="n">
        <x:v>1</x:v>
      </x:c>
      <x:c r="V47" t="str">
        <x:v>"Agence France Presse,2026-07-30,US strike kills three in Qeshm: Iranian media"</x:v>
      </x:c>
      <x:c r="W47" t="str">
        <x:v>Agence France Presse</x:v>
      </x:c>
      <x:c r="X47" t="str">
        <x:v>2026-07-30</x:v>
      </x:c>
      <x:c r="Y47" t="str">
        <x:v>US strike kills three in Qeshm: Iranian media</x:v>
      </x:c>
      <x:c r="Z47" t="str">
        <x:v>Hormozgan University of Medical Sciences</x:v>
      </x:c>
      <x:c r="AA47" t="n">
        <x:v>1</x:v>
      </x:c>
      <x:c r="AB47" t="str">
        <x:v>Qeshm town</x:v>
      </x:c>
      <x:c r="AC47" t="str">
        <x:v>Chah Tangu neighbourhood of Qeshm</x:v>
      </x:c>
      <x:c r="AD47" t="str">
        <x:v>Hormozgan province</x:v>
      </x:c>
      <x:c r="AE47" t="str">
        <x:v>Qeshm county</x:v>
      </x:c>
      <x:c r="AF47" t="n">
        <x:v>26.9492</x:v>
      </x:c>
      <x:c r="AG47" t="n">
        <x:v>56.2691</x:v>
      </x:c>
      <x:c r="AH47" t="str">
        <x:v>POINT (56.2691 26.9492)</x:v>
      </x:c>
      <x:c r="AI47" t="n">
        <x:v>168233</x:v>
      </x:c>
      <x:c r="AJ47" t="str">
        <x:v>Iran</x:v>
      </x:c>
      <x:c r="AK47" t="n">
        <x:v>630</x:v>
      </x:c>
      <x:c r="AL47" t="str">
        <x:v>Middle East</x:v>
      </x:c>
      <x:c r="AM47" t="n">
        <x:v>1</x:v>
      </x:c>
      <x:c r="AN47" t="n">
        <x:v>1</x:v>
      </x:c>
      <x:c r="AO47" s="30" t="n">
        <x:v>46233</x:v>
      </x:c>
      <x:c r="AP47" s="30" t="n">
        <x:v>46233</x:v>
      </x:c>
      <x:c r="AQ47" t="n">
        <x:v>0</x:v>
      </x:c>
      <x:c r="AR47" t="n">
        <x:v>0</x:v>
      </x:c>
      <x:c r="AS47" t="n">
        <x:v>3</x:v>
      </x:c>
      <x:c r="AT47" t="n">
        <x:v>0</x:v>
      </x:c>
      <x:c r="AU47" t="n">
        <x:v>3</x:v>
      </x:c>
      <x:c r="AV47" t="n">
        <x:v>3</x:v>
      </x:c>
      <x:c r="AW47" t="n">
        <x:v>3</x:v>
      </x:c>
      <x:c r="AX47" t="n">
        <x:v>630</x:v>
      </x:c>
      <x:c r="AY47"/>
      <x:c r="AZ47" t="str">
        <x:v>July 2026 v26.0.7</x:v>
      </x:c>
    </x:row>
    <x:row r="48">
      <x:c r="A48" s="18" t="str">
        <x:v>US</x:v>
      </x:c>
      <x:c r="B48" s="18" t="str">
        <x:v>Iran's Guards say three members killed in US attack on northwest</x:v>
      </x:c>
      <x:c r="C48" t="n">
        <x:v>637567</x:v>
      </x:c>
      <x:c r="D48" t="str">
        <x:v>IRN-2026-1-18868-136</x:v>
      </x:c>
      <x:c r="E48" t="n">
        <x:v>2026</x:v>
      </x:c>
      <x:c r="F48" t="str">
        <x:v>true</x:v>
      </x:c>
      <x:c r="G48" t="str">
        <x:v>Clear</x:v>
      </x:c>
      <x:c r="H48" t="n">
        <x:v>1</x:v>
      </x:c>
      <x:c r="I48"/>
      <x:c r="J48" t="n">
        <x:v>16905</x:v>
      </x:c>
      <x:c r="K48" t="str">
        <x:v>Iran - Israel, United States of America</x:v>
      </x:c>
      <x:c r="L48" t="n">
        <x:v>18868</x:v>
      </x:c>
      <x:c r="M48" t="n">
        <x:v>18868</x:v>
      </x:c>
      <x:c r="N48" t="str">
        <x:v>Government of Iran - Government of Israel, Government of United States of America</x:v>
      </x:c>
      <x:c r="O48" t="n">
        <x:v>114</x:v>
      </x:c>
      <x:c r="P48" t="n">
        <x:v>114</x:v>
      </x:c>
      <x:c r="Q48" t="str">
        <x:v>Government of Iran</x:v>
      </x:c>
      <x:c r="R48" t="n">
        <x:v>9865</x:v>
      </x:c>
      <x:c r="S48" t="n">
        <x:v>9865</x:v>
      </x:c>
      <x:c r="T48" t="str">
        <x:v>Government of Israel, Government of United States of America</x:v>
      </x:c>
      <x:c r="U48" t="n">
        <x:v>1</x:v>
      </x:c>
      <x:c r="V48" t="str">
        <x:v>"Agence France Presse,2026-07-30,Iran's Guards say three members killed in US attack on northwest"</x:v>
      </x:c>
      <x:c r="W48" t="str">
        <x:v>Agence France Presse</x:v>
      </x:c>
      <x:c r="X48" t="str">
        <x:v>2026-07-30</x:v>
      </x:c>
      <x:c r="Y48" t="str">
        <x:v>Iran's Guards say three members killed in US attack on northwest</x:v>
      </x:c>
      <x:c r="Z48" t="str">
        <x:v>IRGC</x:v>
      </x:c>
      <x:c r="AA48" t="n">
        <x:v>4</x:v>
      </x:c>
      <x:c r="AB48" t="str">
        <x:v>Zanjan province</x:v>
      </x:c>
      <x:c r="AC48" t="str">
        <x:v>Zanjan province</x:v>
      </x:c>
      <x:c r="AD48" t="str">
        <x:v>Zanjan province</x:v>
      </x:c>
      <x:c r="AE48"/>
      <x:c r="AF48" t="n">
        <x:v>36.6751</x:v>
      </x:c>
      <x:c r="AG48" t="n">
        <x:v>48.4845</x:v>
      </x:c>
      <x:c r="AH48" t="str">
        <x:v>POINT (48.4845 36.6751)</x:v>
      </x:c>
      <x:c r="AI48" t="n">
        <x:v>182617</x:v>
      </x:c>
      <x:c r="AJ48" t="str">
        <x:v>Iran</x:v>
      </x:c>
      <x:c r="AK48" t="n">
        <x:v>630</x:v>
      </x:c>
      <x:c r="AL48" t="str">
        <x:v>Middle East</x:v>
      </x:c>
      <x:c r="AM48" t="n">
        <x:v>1</x:v>
      </x:c>
      <x:c r="AN48" t="n">
        <x:v>1</x:v>
      </x:c>
      <x:c r="AO48" s="30" t="n">
        <x:v>46233</x:v>
      </x:c>
      <x:c r="AP48" s="30" t="n">
        <x:v>46233</x:v>
      </x:c>
      <x:c r="AQ48" t="n">
        <x:v>3</x:v>
      </x:c>
      <x:c r="AR48" t="n">
        <x:v>0</x:v>
      </x:c>
      <x:c r="AS48" t="n">
        <x:v>0</x:v>
      </x:c>
      <x:c r="AT48" t="n">
        <x:v>0</x:v>
      </x:c>
      <x:c r="AU48" t="n">
        <x:v>3</x:v>
      </x:c>
      <x:c r="AV48" t="n">
        <x:v>3</x:v>
      </x:c>
      <x:c r="AW48" t="n">
        <x:v>3</x:v>
      </x:c>
      <x:c r="AX48" t="n">
        <x:v>630</x:v>
      </x:c>
      <x:c r="AY48"/>
      <x:c r="AZ48" t="str">
        <x:v>July 2026 v26.0.7</x:v>
      </x:c>
    </x:row>
  </x:sheetData>
  <x:pageMargins left="0.7" right="0.7" top="0.75" bottom="0.75" header="0.3" footer="0.3"/>
  <x:tableParts count="1">
    <x:tablePart xmlns:r="http://schemas.openxmlformats.org/officeDocument/2006/relationships" r:id="Re784464529d44d0f"/>
  </x:tableParts>
</x:worksheet>
</file>